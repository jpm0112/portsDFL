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y\Documents\2026\Tesis\"/>
    </mc:Choice>
  </mc:AlternateContent>
  <xr:revisionPtr revIDLastSave="0" documentId="8_{2D78707F-818C-451D-9756-1749809E3E9F}" xr6:coauthVersionLast="47" xr6:coauthVersionMax="47" xr10:uidLastSave="{00000000-0000-0000-0000-000000000000}"/>
  <bookViews>
    <workbookView xWindow="-108" yWindow="-108" windowWidth="23256" windowHeight="12456" xr2:uid="{80BFBD2E-8B81-4A47-8A1D-AA748C7CAA4F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 a="1"/>
  <c r="H10" i="2" s="1"/>
  <c r="G11" i="2"/>
  <c r="G12" i="2"/>
  <c r="G13" i="2"/>
  <c r="G14" i="2"/>
  <c r="H14" i="2" s="1" a="1"/>
  <c r="H14" i="2" s="1"/>
  <c r="G15" i="2"/>
  <c r="H15" i="2" s="1" a="1"/>
  <c r="H15" i="2" s="1"/>
  <c r="H11" i="2" a="1"/>
  <c r="H11" i="2" s="1"/>
  <c r="H12" i="2" a="1"/>
  <c r="H12" i="2" s="1"/>
  <c r="H13" i="2" a="1"/>
  <c r="H13" i="2" s="1"/>
  <c r="K10" i="2"/>
  <c r="K11" i="2"/>
  <c r="K12" i="2"/>
  <c r="K13" i="2"/>
  <c r="K14" i="2"/>
  <c r="K15" i="2"/>
  <c r="AL3" i="2"/>
  <c r="AM3" i="2"/>
  <c r="AY3" i="2" s="1"/>
  <c r="AQ3" i="2"/>
  <c r="AR3" i="2"/>
  <c r="AS3" i="2"/>
  <c r="AT3" i="2"/>
  <c r="AU3" i="2"/>
  <c r="AV3" i="2"/>
  <c r="AW3" i="2"/>
  <c r="AL4" i="2"/>
  <c r="AM4" i="2"/>
  <c r="AQ4" i="2"/>
  <c r="AR4" i="2"/>
  <c r="AS4" i="2"/>
  <c r="AT4" i="2"/>
  <c r="AU4" i="2"/>
  <c r="AV4" i="2"/>
  <c r="AW4" i="2"/>
  <c r="AL5" i="2"/>
  <c r="AM5" i="2"/>
  <c r="AQ5" i="2"/>
  <c r="AR5" i="2"/>
  <c r="AS5" i="2"/>
  <c r="AT5" i="2"/>
  <c r="AU5" i="2"/>
  <c r="AV5" i="2"/>
  <c r="AW5" i="2"/>
  <c r="AL6" i="2"/>
  <c r="AW6" i="2" s="1"/>
  <c r="AM6" i="2"/>
  <c r="AY6" i="2" s="1"/>
  <c r="AQ6" i="2"/>
  <c r="AR6" i="2"/>
  <c r="AS6" i="2"/>
  <c r="AT6" i="2"/>
  <c r="AU6" i="2"/>
  <c r="AV6" i="2"/>
  <c r="AL7" i="2"/>
  <c r="AM7" i="2"/>
  <c r="AY7" i="2" s="1"/>
  <c r="AQ7" i="2"/>
  <c r="AR7" i="2"/>
  <c r="AS7" i="2"/>
  <c r="AT7" i="2"/>
  <c r="AU7" i="2"/>
  <c r="AV7" i="2"/>
  <c r="AW7" i="2"/>
  <c r="AL8" i="2"/>
  <c r="AW8" i="2" s="1"/>
  <c r="AM8" i="2"/>
  <c r="AY8" i="2" s="1"/>
  <c r="AQ8" i="2"/>
  <c r="AR8" i="2"/>
  <c r="AS8" i="2"/>
  <c r="AT8" i="2"/>
  <c r="AU8" i="2"/>
  <c r="AV8" i="2"/>
  <c r="AL9" i="2"/>
  <c r="AW9" i="2" s="1"/>
  <c r="AM9" i="2"/>
  <c r="AX9" i="2" s="1"/>
  <c r="AQ9" i="2"/>
  <c r="AR9" i="2"/>
  <c r="AS9" i="2"/>
  <c r="AT9" i="2"/>
  <c r="AU9" i="2"/>
  <c r="AV9" i="2"/>
  <c r="AL10" i="2"/>
  <c r="AM10" i="2"/>
  <c r="AX10" i="2" s="1"/>
  <c r="AQ10" i="2"/>
  <c r="AR10" i="2"/>
  <c r="AS10" i="2"/>
  <c r="AT10" i="2"/>
  <c r="AU10" i="2"/>
  <c r="AV10" i="2"/>
  <c r="AW10" i="2"/>
  <c r="AY10" i="2"/>
  <c r="AL11" i="2"/>
  <c r="AM11" i="2"/>
  <c r="AY11" i="2" s="1"/>
  <c r="AQ11" i="2"/>
  <c r="AR11" i="2"/>
  <c r="AS11" i="2"/>
  <c r="AT11" i="2"/>
  <c r="AU11" i="2"/>
  <c r="AV11" i="2"/>
  <c r="AW11" i="2"/>
  <c r="AL12" i="2"/>
  <c r="AW12" i="2" s="1"/>
  <c r="AM12" i="2"/>
  <c r="AQ12" i="2"/>
  <c r="AR12" i="2"/>
  <c r="AS12" i="2"/>
  <c r="AT12" i="2"/>
  <c r="AU12" i="2"/>
  <c r="AV12" i="2"/>
  <c r="AY12" i="2"/>
  <c r="AL13" i="2"/>
  <c r="AM13" i="2"/>
  <c r="AY13" i="2" s="1"/>
  <c r="AQ13" i="2"/>
  <c r="AR13" i="2"/>
  <c r="AS13" i="2"/>
  <c r="AT13" i="2"/>
  <c r="AU13" i="2"/>
  <c r="AV13" i="2"/>
  <c r="AW13" i="2"/>
  <c r="AL14" i="2"/>
  <c r="AM14" i="2"/>
  <c r="AQ14" i="2"/>
  <c r="AR14" i="2"/>
  <c r="AS14" i="2"/>
  <c r="AT14" i="2"/>
  <c r="AU14" i="2"/>
  <c r="AV14" i="2"/>
  <c r="AW14" i="2"/>
  <c r="AY14" i="2"/>
  <c r="AL15" i="2"/>
  <c r="AW15" i="2" s="1"/>
  <c r="AM15" i="2"/>
  <c r="AY15" i="2" s="1"/>
  <c r="AQ15" i="2"/>
  <c r="AR15" i="2"/>
  <c r="AS15" i="2"/>
  <c r="AT15" i="2"/>
  <c r="AU15" i="2"/>
  <c r="AV15" i="2"/>
  <c r="AX15" i="2"/>
  <c r="AQ3" i="3"/>
  <c r="AR3" i="3"/>
  <c r="AS3" i="3"/>
  <c r="AT3" i="3"/>
  <c r="AZ3" i="3" s="1"/>
  <c r="AU3" i="3"/>
  <c r="AV3" i="3"/>
  <c r="AW3" i="3"/>
  <c r="AX3" i="3"/>
  <c r="AY3" i="3"/>
  <c r="AQ4" i="3"/>
  <c r="AR4" i="3"/>
  <c r="AS4" i="3"/>
  <c r="AT4" i="3"/>
  <c r="AZ4" i="3" s="1"/>
  <c r="AU4" i="3"/>
  <c r="AV4" i="3"/>
  <c r="AW4" i="3"/>
  <c r="AX4" i="3"/>
  <c r="AY4" i="3"/>
  <c r="AQ5" i="3"/>
  <c r="AR5" i="3"/>
  <c r="AS5" i="3"/>
  <c r="AT5" i="3"/>
  <c r="AZ5" i="3" s="1"/>
  <c r="AU5" i="3"/>
  <c r="AV5" i="3"/>
  <c r="AW5" i="3"/>
  <c r="AX5" i="3"/>
  <c r="AY5" i="3"/>
  <c r="AQ6" i="3"/>
  <c r="AR6" i="3"/>
  <c r="AS6" i="3"/>
  <c r="AT6" i="3"/>
  <c r="AU6" i="3"/>
  <c r="AV6" i="3"/>
  <c r="AW6" i="3"/>
  <c r="AX6" i="3"/>
  <c r="AY6" i="3"/>
  <c r="AZ6" i="3"/>
  <c r="AQ7" i="3"/>
  <c r="AR7" i="3"/>
  <c r="AS7" i="3"/>
  <c r="AT7" i="3"/>
  <c r="AU7" i="3"/>
  <c r="AV7" i="3"/>
  <c r="AW7" i="3"/>
  <c r="AX7" i="3"/>
  <c r="AY7" i="3"/>
  <c r="AZ7" i="3"/>
  <c r="AQ8" i="3"/>
  <c r="AR8" i="3"/>
  <c r="AS8" i="3"/>
  <c r="AT8" i="3"/>
  <c r="AZ8" i="3" s="1"/>
  <c r="AU8" i="3"/>
  <c r="AV8" i="3"/>
  <c r="AW8" i="3"/>
  <c r="AX8" i="3"/>
  <c r="AY8" i="3"/>
  <c r="AQ9" i="3"/>
  <c r="AR9" i="3"/>
  <c r="AS9" i="3"/>
  <c r="AT9" i="3"/>
  <c r="AZ9" i="3" s="1"/>
  <c r="AU9" i="3"/>
  <c r="AV9" i="3"/>
  <c r="AW9" i="3"/>
  <c r="AX9" i="3"/>
  <c r="AY9" i="3"/>
  <c r="AQ10" i="3"/>
  <c r="AR10" i="3"/>
  <c r="AS10" i="3"/>
  <c r="AT10" i="3"/>
  <c r="AU10" i="3"/>
  <c r="AV10" i="3"/>
  <c r="AW10" i="3"/>
  <c r="AX10" i="3"/>
  <c r="AY10" i="3"/>
  <c r="AZ10" i="3"/>
  <c r="H40" i="3" a="1"/>
  <c r="H40" i="3" s="1"/>
  <c r="G40" i="3"/>
  <c r="H39" i="3" a="1"/>
  <c r="H39" i="3" s="1"/>
  <c r="G39" i="3"/>
  <c r="H38" i="3" a="1"/>
  <c r="H38" i="3" s="1"/>
  <c r="G38" i="3"/>
  <c r="H37" i="3" a="1"/>
  <c r="H37" i="3" s="1"/>
  <c r="G37" i="3"/>
  <c r="H36" i="3" a="1"/>
  <c r="H36" i="3" s="1"/>
  <c r="G36" i="3"/>
  <c r="H35" i="3" a="1"/>
  <c r="H35" i="3" s="1"/>
  <c r="G35" i="3"/>
  <c r="H34" i="3" a="1"/>
  <c r="H34" i="3" s="1"/>
  <c r="G34" i="3"/>
  <c r="H33" i="3" a="1"/>
  <c r="H33" i="3" s="1"/>
  <c r="G33" i="3"/>
  <c r="H32" i="3" a="1"/>
  <c r="H32" i="3" s="1"/>
  <c r="G32" i="3"/>
  <c r="K10" i="3"/>
  <c r="G10" i="3"/>
  <c r="H10" i="3" s="1" a="1"/>
  <c r="H10" i="3" s="1"/>
  <c r="K9" i="3"/>
  <c r="G9" i="3"/>
  <c r="H9" i="3" s="1" a="1"/>
  <c r="H9" i="3" s="1"/>
  <c r="K8" i="3"/>
  <c r="G8" i="3"/>
  <c r="H8" i="3" s="1" a="1"/>
  <c r="H8" i="3" s="1"/>
  <c r="K7" i="3"/>
  <c r="G7" i="3"/>
  <c r="H7" i="3" s="1" a="1"/>
  <c r="H7" i="3" s="1"/>
  <c r="K6" i="3"/>
  <c r="G6" i="3"/>
  <c r="H6" i="3" s="1" a="1"/>
  <c r="H6" i="3" s="1"/>
  <c r="K5" i="3"/>
  <c r="G5" i="3"/>
  <c r="H5" i="3" s="1" a="1"/>
  <c r="H5" i="3" s="1"/>
  <c r="K4" i="3"/>
  <c r="G4" i="3"/>
  <c r="H4" i="3" s="1" a="1"/>
  <c r="H4" i="3" s="1"/>
  <c r="K3" i="3"/>
  <c r="H3" i="3" a="1"/>
  <c r="H3" i="3" s="1"/>
  <c r="G3" i="3"/>
  <c r="AZ2" i="3"/>
  <c r="AV2" i="3"/>
  <c r="AU2" i="3"/>
  <c r="AT2" i="3"/>
  <c r="AS2" i="3"/>
  <c r="AR2" i="3"/>
  <c r="AQ2" i="3"/>
  <c r="AM2" i="3"/>
  <c r="AY2" i="3" s="1"/>
  <c r="AL2" i="3"/>
  <c r="AW2" i="3" s="1"/>
  <c r="K2" i="3"/>
  <c r="G2" i="3"/>
  <c r="H2" i="3" s="1" a="1"/>
  <c r="H2" i="3" s="1"/>
  <c r="AV2" i="2"/>
  <c r="AU2" i="2"/>
  <c r="AT2" i="2"/>
  <c r="AS2" i="2"/>
  <c r="AR2" i="2"/>
  <c r="AQ2" i="2"/>
  <c r="AM2" i="2"/>
  <c r="AY2" i="2" s="1"/>
  <c r="AL2" i="2"/>
  <c r="AW2" i="2" s="1"/>
  <c r="K9" i="2"/>
  <c r="K3" i="2"/>
  <c r="K4" i="2"/>
  <c r="K5" i="2"/>
  <c r="K6" i="2"/>
  <c r="K7" i="2"/>
  <c r="K8" i="2"/>
  <c r="K2" i="2"/>
  <c r="K2" i="1"/>
  <c r="G9" i="2"/>
  <c r="H9" i="2" s="1" a="1"/>
  <c r="H9" i="2" s="1"/>
  <c r="G3" i="2"/>
  <c r="H3" i="2" s="1" a="1"/>
  <c r="H3" i="2" s="1"/>
  <c r="G4" i="2"/>
  <c r="H4" i="2" s="1" a="1"/>
  <c r="H4" i="2" s="1"/>
  <c r="G5" i="2"/>
  <c r="H5" i="2" s="1" a="1"/>
  <c r="H5" i="2" s="1"/>
  <c r="G6" i="2"/>
  <c r="H6" i="2" s="1" a="1"/>
  <c r="H6" i="2" s="1"/>
  <c r="G7" i="2"/>
  <c r="H7" i="2" s="1" a="1"/>
  <c r="H7" i="2" s="1"/>
  <c r="G8" i="2"/>
  <c r="H8" i="2" s="1" a="1"/>
  <c r="H8" i="2" s="1"/>
  <c r="H2" i="1" a="1"/>
  <c r="H2" i="1" s="1"/>
  <c r="G2" i="2"/>
  <c r="H2" i="2" s="1" a="1"/>
  <c r="H2" i="2" s="1"/>
  <c r="H39" i="2" a="1"/>
  <c r="H39" i="2" s="1"/>
  <c r="G39" i="2"/>
  <c r="H38" i="2"/>
  <c r="H38" i="2" a="1"/>
  <c r="G38" i="2"/>
  <c r="H37" i="2" a="1"/>
  <c r="H37" i="2" s="1"/>
  <c r="G37" i="2"/>
  <c r="H36" i="2" a="1"/>
  <c r="H36" i="2" s="1"/>
  <c r="G36" i="2"/>
  <c r="H35" i="2" a="1"/>
  <c r="H35" i="2" s="1"/>
  <c r="G35" i="2"/>
  <c r="H34" i="2" a="1"/>
  <c r="H34" i="2" s="1"/>
  <c r="G34" i="2"/>
  <c r="H33" i="2" a="1"/>
  <c r="H33" i="2" s="1"/>
  <c r="G33" i="2"/>
  <c r="H32" i="2" a="1"/>
  <c r="H32" i="2" s="1"/>
  <c r="G32" i="2"/>
  <c r="H31" i="2" a="1"/>
  <c r="H31" i="2" s="1"/>
  <c r="G31" i="2"/>
  <c r="AZ6" i="2" l="1"/>
  <c r="AX11" i="2"/>
  <c r="AX14" i="2"/>
  <c r="AZ11" i="2"/>
  <c r="AZ3" i="2"/>
  <c r="AZ15" i="2"/>
  <c r="AX13" i="2"/>
  <c r="AX5" i="2"/>
  <c r="AX4" i="2"/>
  <c r="AX7" i="2"/>
  <c r="AZ8" i="2"/>
  <c r="AZ4" i="2"/>
  <c r="AY4" i="2"/>
  <c r="AZ13" i="2"/>
  <c r="AX12" i="2"/>
  <c r="AZ9" i="2"/>
  <c r="AX3" i="2"/>
  <c r="AX2" i="2"/>
  <c r="AZ2" i="2"/>
  <c r="AZ14" i="2"/>
  <c r="AZ12" i="2"/>
  <c r="AZ10" i="2"/>
  <c r="AX8" i="2"/>
  <c r="AY5" i="2"/>
  <c r="AY9" i="2"/>
  <c r="AZ5" i="2"/>
  <c r="AX6" i="2"/>
  <c r="AZ7" i="2"/>
  <c r="AX2" i="3"/>
  <c r="AT2" i="1" l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2" i="1"/>
  <c r="AM2" i="1"/>
  <c r="AL4" i="1"/>
  <c r="AZ2" i="1" l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M14" i="1" l="1"/>
  <c r="AZ14" i="1" s="1"/>
  <c r="AM15" i="1"/>
  <c r="AZ15" i="1" s="1"/>
  <c r="AM16" i="1"/>
  <c r="AZ16" i="1" s="1"/>
  <c r="AM17" i="1"/>
  <c r="AZ17" i="1" s="1"/>
  <c r="AM18" i="1"/>
  <c r="AZ18" i="1" s="1"/>
  <c r="AM19" i="1"/>
  <c r="AY19" i="1" s="1"/>
  <c r="AM20" i="1"/>
  <c r="AY20" i="1" s="1"/>
  <c r="AM21" i="1"/>
  <c r="AZ21" i="1" s="1"/>
  <c r="AM22" i="1"/>
  <c r="AZ22" i="1" s="1"/>
  <c r="AM23" i="1"/>
  <c r="AZ23" i="1" s="1"/>
  <c r="AM24" i="1"/>
  <c r="AZ24" i="1" s="1"/>
  <c r="AM25" i="1"/>
  <c r="AZ25" i="1" s="1"/>
  <c r="AM26" i="1"/>
  <c r="AZ26" i="1" s="1"/>
  <c r="AM27" i="1"/>
  <c r="AY27" i="1" s="1"/>
  <c r="AM28" i="1"/>
  <c r="AY28" i="1" s="1"/>
  <c r="AM29" i="1"/>
  <c r="AZ29" i="1" s="1"/>
  <c r="AM30" i="1"/>
  <c r="AZ30" i="1" s="1"/>
  <c r="AM31" i="1"/>
  <c r="AZ31" i="1" s="1"/>
  <c r="AM32" i="1"/>
  <c r="AZ32" i="1" s="1"/>
  <c r="AM33" i="1"/>
  <c r="AZ33" i="1" s="1"/>
  <c r="AM34" i="1"/>
  <c r="AZ34" i="1" s="1"/>
  <c r="AM35" i="1"/>
  <c r="AY35" i="1" s="1"/>
  <c r="AM36" i="1"/>
  <c r="AY36" i="1" s="1"/>
  <c r="AM37" i="1"/>
  <c r="AZ37" i="1" s="1"/>
  <c r="AM38" i="1"/>
  <c r="AZ38" i="1" s="1"/>
  <c r="AM39" i="1"/>
  <c r="AZ39" i="1" s="1"/>
  <c r="AM40" i="1"/>
  <c r="AZ40" i="1" s="1"/>
  <c r="AM41" i="1"/>
  <c r="AZ41" i="1" s="1"/>
  <c r="AM42" i="1"/>
  <c r="AZ42" i="1" s="1"/>
  <c r="AM12" i="1"/>
  <c r="AY12" i="1" s="1"/>
  <c r="AM13" i="1"/>
  <c r="AZ13" i="1" s="1"/>
  <c r="AM3" i="1"/>
  <c r="AY3" i="1" s="1"/>
  <c r="AM4" i="1"/>
  <c r="AY4" i="1" s="1"/>
  <c r="AM5" i="1"/>
  <c r="AZ5" i="1" s="1"/>
  <c r="AM6" i="1"/>
  <c r="AZ6" i="1" s="1"/>
  <c r="AM7" i="1"/>
  <c r="AZ7" i="1" s="1"/>
  <c r="AM8" i="1"/>
  <c r="AZ8" i="1" s="1"/>
  <c r="AM9" i="1"/>
  <c r="AZ9" i="1" s="1"/>
  <c r="AM10" i="1"/>
  <c r="AZ10" i="1" s="1"/>
  <c r="AM11" i="1"/>
  <c r="AY11" i="1" s="1"/>
  <c r="AY2" i="1"/>
  <c r="AR2" i="1"/>
  <c r="AL3" i="1"/>
  <c r="AW3" i="1" s="1"/>
  <c r="AW4" i="1"/>
  <c r="AL5" i="1"/>
  <c r="AW5" i="1" s="1"/>
  <c r="AL6" i="1"/>
  <c r="AW6" i="1" s="1"/>
  <c r="AL7" i="1"/>
  <c r="AW7" i="1" s="1"/>
  <c r="AL8" i="1"/>
  <c r="AW8" i="1" s="1"/>
  <c r="AL9" i="1"/>
  <c r="AW9" i="1" s="1"/>
  <c r="AL10" i="1"/>
  <c r="AW10" i="1" s="1"/>
  <c r="AL11" i="1"/>
  <c r="AW11" i="1" s="1"/>
  <c r="AL12" i="1"/>
  <c r="AW12" i="1" s="1"/>
  <c r="AL13" i="1"/>
  <c r="AW13" i="1" s="1"/>
  <c r="AL14" i="1"/>
  <c r="AW14" i="1" s="1"/>
  <c r="AL15" i="1"/>
  <c r="AW15" i="1" s="1"/>
  <c r="AL16" i="1"/>
  <c r="AW16" i="1" s="1"/>
  <c r="AL17" i="1"/>
  <c r="AW17" i="1" s="1"/>
  <c r="AL18" i="1"/>
  <c r="AW18" i="1" s="1"/>
  <c r="AL19" i="1"/>
  <c r="AW19" i="1" s="1"/>
  <c r="AL20" i="1"/>
  <c r="AW20" i="1" s="1"/>
  <c r="AL21" i="1"/>
  <c r="AW21" i="1" s="1"/>
  <c r="AL22" i="1"/>
  <c r="AW22" i="1" s="1"/>
  <c r="AL23" i="1"/>
  <c r="AW23" i="1" s="1"/>
  <c r="AL24" i="1"/>
  <c r="AW24" i="1" s="1"/>
  <c r="AL25" i="1"/>
  <c r="AW25" i="1" s="1"/>
  <c r="AL26" i="1"/>
  <c r="AW26" i="1" s="1"/>
  <c r="AL27" i="1"/>
  <c r="AW27" i="1" s="1"/>
  <c r="AL28" i="1"/>
  <c r="AW28" i="1" s="1"/>
  <c r="AL29" i="1"/>
  <c r="AW29" i="1" s="1"/>
  <c r="AL30" i="1"/>
  <c r="AW30" i="1" s="1"/>
  <c r="AL31" i="1"/>
  <c r="AW31" i="1" s="1"/>
  <c r="AL32" i="1"/>
  <c r="AW32" i="1" s="1"/>
  <c r="AL33" i="1"/>
  <c r="AW33" i="1" s="1"/>
  <c r="AL34" i="1"/>
  <c r="AW34" i="1" s="1"/>
  <c r="AL35" i="1"/>
  <c r="AW35" i="1" s="1"/>
  <c r="AL36" i="1"/>
  <c r="AW36" i="1" s="1"/>
  <c r="AL37" i="1"/>
  <c r="AW37" i="1" s="1"/>
  <c r="AL38" i="1"/>
  <c r="AW38" i="1" s="1"/>
  <c r="AL39" i="1"/>
  <c r="AW39" i="1" s="1"/>
  <c r="AL40" i="1"/>
  <c r="AW40" i="1" s="1"/>
  <c r="AL41" i="1"/>
  <c r="AW41" i="1" s="1"/>
  <c r="AL42" i="1"/>
  <c r="AW42" i="1" s="1"/>
  <c r="AL2" i="1"/>
  <c r="AW2" i="1" s="1"/>
  <c r="AZ4" i="1" l="1"/>
  <c r="AZ19" i="1"/>
  <c r="AZ35" i="1"/>
  <c r="AZ12" i="1"/>
  <c r="AZ11" i="1"/>
  <c r="AZ20" i="1"/>
  <c r="AZ3" i="1"/>
  <c r="AZ27" i="1"/>
  <c r="AZ28" i="1"/>
  <c r="AZ36" i="1"/>
  <c r="AX7" i="1"/>
  <c r="AX41" i="1"/>
  <c r="AX33" i="1"/>
  <c r="AW44" i="1"/>
  <c r="AX40" i="1"/>
  <c r="AX32" i="1"/>
  <c r="AX39" i="1"/>
  <c r="AX31" i="1"/>
  <c r="AX38" i="1"/>
  <c r="AX6" i="1"/>
  <c r="AX5" i="1"/>
  <c r="AX8" i="1"/>
  <c r="AX25" i="1"/>
  <c r="AX24" i="1"/>
  <c r="AX23" i="1"/>
  <c r="AX10" i="1"/>
  <c r="AX13" i="1"/>
  <c r="AX9" i="1"/>
  <c r="AX42" i="1"/>
  <c r="AX34" i="1"/>
  <c r="AX26" i="1"/>
  <c r="AX18" i="1"/>
  <c r="AX17" i="1"/>
  <c r="AX16" i="1"/>
  <c r="AX15" i="1"/>
  <c r="AX14" i="1"/>
  <c r="AX30" i="1"/>
  <c r="AX22" i="1"/>
  <c r="AX37" i="1"/>
  <c r="AX29" i="1"/>
  <c r="AX21" i="1"/>
  <c r="AX12" i="1"/>
  <c r="AX4" i="1"/>
  <c r="AX36" i="1"/>
  <c r="AX28" i="1"/>
  <c r="AX20" i="1"/>
  <c r="AY42" i="1"/>
  <c r="AY34" i="1"/>
  <c r="AY26" i="1"/>
  <c r="AY18" i="1"/>
  <c r="AY10" i="1"/>
  <c r="AX11" i="1"/>
  <c r="AX3" i="1"/>
  <c r="AX35" i="1"/>
  <c r="AX27" i="1"/>
  <c r="AX19" i="1"/>
  <c r="AY41" i="1"/>
  <c r="AY33" i="1"/>
  <c r="AY25" i="1"/>
  <c r="AY17" i="1"/>
  <c r="AY9" i="1"/>
  <c r="AY40" i="1"/>
  <c r="AY32" i="1"/>
  <c r="AY24" i="1"/>
  <c r="AY16" i="1"/>
  <c r="AY8" i="1"/>
  <c r="AY39" i="1"/>
  <c r="AY31" i="1"/>
  <c r="AY23" i="1"/>
  <c r="AY15" i="1"/>
  <c r="AY7" i="1"/>
  <c r="AY38" i="1"/>
  <c r="AY30" i="1"/>
  <c r="AY22" i="1"/>
  <c r="AY14" i="1"/>
  <c r="AY6" i="1"/>
  <c r="AY37" i="1"/>
  <c r="AY29" i="1"/>
  <c r="AY21" i="1"/>
  <c r="AY13" i="1"/>
  <c r="AY5" i="1"/>
  <c r="AX2" i="1"/>
  <c r="G3" i="1"/>
  <c r="H3" i="1" s="1" a="1"/>
  <c r="H3" i="1" s="1"/>
  <c r="G4" i="1"/>
  <c r="H4" i="1" s="1" a="1"/>
  <c r="H4" i="1" s="1"/>
  <c r="G5" i="1"/>
  <c r="H5" i="1" s="1" a="1"/>
  <c r="H5" i="1" s="1"/>
  <c r="G6" i="1"/>
  <c r="H6" i="1" s="1" a="1"/>
  <c r="H6" i="1" s="1"/>
  <c r="G7" i="1"/>
  <c r="H7" i="1" s="1" a="1"/>
  <c r="H7" i="1" s="1"/>
  <c r="G8" i="1"/>
  <c r="H8" i="1" s="1" a="1"/>
  <c r="H8" i="1" s="1"/>
  <c r="G9" i="1"/>
  <c r="H9" i="1" s="1" a="1"/>
  <c r="H9" i="1" s="1"/>
  <c r="G10" i="1"/>
  <c r="H10" i="1" s="1" a="1"/>
  <c r="H10" i="1" s="1"/>
  <c r="G11" i="1"/>
  <c r="H11" i="1" s="1" a="1"/>
  <c r="H11" i="1" s="1"/>
  <c r="G12" i="1"/>
  <c r="H12" i="1" s="1" a="1"/>
  <c r="H12" i="1" s="1"/>
  <c r="G13" i="1"/>
  <c r="H13" i="1" s="1" a="1"/>
  <c r="H13" i="1" s="1"/>
  <c r="G14" i="1"/>
  <c r="H14" i="1" s="1" a="1"/>
  <c r="H14" i="1" s="1"/>
  <c r="G15" i="1"/>
  <c r="H15" i="1" s="1" a="1"/>
  <c r="H15" i="1" s="1"/>
  <c r="G16" i="1"/>
  <c r="H16" i="1" s="1" a="1"/>
  <c r="H16" i="1" s="1"/>
  <c r="G17" i="1"/>
  <c r="H17" i="1" s="1" a="1"/>
  <c r="H17" i="1" s="1"/>
  <c r="G18" i="1"/>
  <c r="H18" i="1" s="1" a="1"/>
  <c r="H18" i="1" s="1"/>
  <c r="G19" i="1"/>
  <c r="H19" i="1" s="1" a="1"/>
  <c r="H19" i="1" s="1"/>
  <c r="G20" i="1"/>
  <c r="H20" i="1" s="1" a="1"/>
  <c r="H20" i="1" s="1"/>
  <c r="G21" i="1"/>
  <c r="H21" i="1" s="1" a="1"/>
  <c r="H21" i="1" s="1"/>
  <c r="G22" i="1"/>
  <c r="H22" i="1" s="1" a="1"/>
  <c r="H22" i="1" s="1"/>
  <c r="G23" i="1"/>
  <c r="H23" i="1" s="1" a="1"/>
  <c r="H23" i="1" s="1"/>
  <c r="G24" i="1"/>
  <c r="H24" i="1" s="1" a="1"/>
  <c r="H24" i="1" s="1"/>
  <c r="G25" i="1"/>
  <c r="H25" i="1" s="1" a="1"/>
  <c r="H25" i="1" s="1"/>
  <c r="G26" i="1"/>
  <c r="H26" i="1" s="1" a="1"/>
  <c r="H26" i="1" s="1"/>
  <c r="G27" i="1"/>
  <c r="H27" i="1" s="1" a="1"/>
  <c r="H27" i="1" s="1"/>
  <c r="G28" i="1"/>
  <c r="H28" i="1" s="1" a="1"/>
  <c r="H28" i="1" s="1"/>
  <c r="G29" i="1"/>
  <c r="H29" i="1" s="1" a="1"/>
  <c r="H29" i="1" s="1"/>
  <c r="G30" i="1"/>
  <c r="H30" i="1" s="1" a="1"/>
  <c r="H30" i="1" s="1"/>
  <c r="G31" i="1"/>
  <c r="H31" i="1" s="1" a="1"/>
  <c r="H31" i="1" s="1"/>
  <c r="G32" i="1"/>
  <c r="H32" i="1" s="1" a="1"/>
  <c r="H32" i="1" s="1"/>
  <c r="G33" i="1"/>
  <c r="H33" i="1" s="1" a="1"/>
  <c r="H33" i="1" s="1"/>
  <c r="G34" i="1"/>
  <c r="H34" i="1" s="1" a="1"/>
  <c r="H34" i="1" s="1"/>
  <c r="G35" i="1"/>
  <c r="H35" i="1" s="1" a="1"/>
  <c r="H35" i="1" s="1"/>
  <c r="G36" i="1"/>
  <c r="H36" i="1" s="1" a="1"/>
  <c r="H36" i="1" s="1"/>
  <c r="G37" i="1"/>
  <c r="H37" i="1" s="1" a="1"/>
  <c r="H37" i="1" s="1"/>
  <c r="G38" i="1"/>
  <c r="H38" i="1" s="1" a="1"/>
  <c r="H38" i="1" s="1"/>
  <c r="G39" i="1"/>
  <c r="H39" i="1" s="1" a="1"/>
  <c r="H39" i="1" s="1"/>
  <c r="G40" i="1"/>
  <c r="H40" i="1" s="1" a="1"/>
  <c r="H40" i="1" s="1"/>
  <c r="G41" i="1"/>
  <c r="H41" i="1" s="1" a="1"/>
  <c r="H41" i="1" s="1"/>
  <c r="G42" i="1"/>
  <c r="H42" i="1" s="1" a="1"/>
  <c r="H42" i="1" s="1"/>
  <c r="G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2" i="1"/>
  <c r="AR25" i="1"/>
  <c r="AR26" i="1"/>
  <c r="AS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AZ44" i="1" l="1"/>
  <c r="AY44" i="1"/>
  <c r="AX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<sst xmlns="http://schemas.openxmlformats.org/spreadsheetml/2006/main" count="381" uniqueCount="125">
  <si>
    <t>Nave</t>
  </si>
  <si>
    <t>Naviera</t>
  </si>
  <si>
    <t>IMO</t>
  </si>
  <si>
    <t>Terminal</t>
  </si>
  <si>
    <t>Contenedores Embarque</t>
  </si>
  <si>
    <t>Contenedores Desembarque</t>
  </si>
  <si>
    <t>Creación Solicitud</t>
  </si>
  <si>
    <t>Aprobación solicitud?</t>
  </si>
  <si>
    <t>ETA Inicial</t>
  </si>
  <si>
    <t>ETA Modificado</t>
  </si>
  <si>
    <t>Fecha Modificación ETA</t>
  </si>
  <si>
    <t>ETA Modificado 2</t>
  </si>
  <si>
    <t>Fecha Modificación ETA 2</t>
  </si>
  <si>
    <t>ETA Modificado 3</t>
  </si>
  <si>
    <t>Fecha Modificación ETA 3</t>
  </si>
  <si>
    <t>ETA Modificado 4</t>
  </si>
  <si>
    <t>Fecha Modificación ETA 4</t>
  </si>
  <si>
    <t>ETA Modificado 5</t>
  </si>
  <si>
    <t>Fecha Modificación ETA 5</t>
  </si>
  <si>
    <t>Inicio atención nave 1</t>
  </si>
  <si>
    <t>ETD Inicial</t>
  </si>
  <si>
    <t>Fecha aparición</t>
  </si>
  <si>
    <t>Inicio atención nave 2</t>
  </si>
  <si>
    <t>ETD 2</t>
  </si>
  <si>
    <t>Fecha modificación 2</t>
  </si>
  <si>
    <t>Inicio atención nave 3</t>
  </si>
  <si>
    <t>ETD 3</t>
  </si>
  <si>
    <t>Fecha modificación 3</t>
  </si>
  <si>
    <t>Inicio atención nave 4</t>
  </si>
  <si>
    <t>ETD 4</t>
  </si>
  <si>
    <t>Fecha modificación 4</t>
  </si>
  <si>
    <t>Inicio atención nave 5</t>
  </si>
  <si>
    <t>ETD 5</t>
  </si>
  <si>
    <t>Fecha modificación 5</t>
  </si>
  <si>
    <t>Puerto Anterior</t>
  </si>
  <si>
    <t>ATD</t>
  </si>
  <si>
    <t>ATA</t>
  </si>
  <si>
    <t>Evergreen</t>
  </si>
  <si>
    <t>STI</t>
  </si>
  <si>
    <t>Callao</t>
  </si>
  <si>
    <t>Skagen Maersk</t>
  </si>
  <si>
    <t>Maersk Line</t>
  </si>
  <si>
    <t>Mejillones</t>
  </si>
  <si>
    <t>CMA CGM Jacques Joseph</t>
  </si>
  <si>
    <t>CMA CGM</t>
  </si>
  <si>
    <t>DP World</t>
  </si>
  <si>
    <t>Monte Pascoal</t>
  </si>
  <si>
    <t>Santos SP</t>
  </si>
  <si>
    <t>Matthew Schulte</t>
  </si>
  <si>
    <t>Hapag-Lloyd Chile</t>
  </si>
  <si>
    <t>Maersk Redwood</t>
  </si>
  <si>
    <t>Antofagasta</t>
  </si>
  <si>
    <t>Maersk Everglades</t>
  </si>
  <si>
    <t>Rio Grande RS</t>
  </si>
  <si>
    <t>Yantian</t>
  </si>
  <si>
    <t>Cosco Group</t>
  </si>
  <si>
    <t>Lirquén</t>
  </si>
  <si>
    <t>Xin Da Lian</t>
  </si>
  <si>
    <t>Lazaro Cardenas</t>
  </si>
  <si>
    <t>Zim Luanda</t>
  </si>
  <si>
    <t>Zim</t>
  </si>
  <si>
    <t>Maersk San Christobal</t>
  </si>
  <si>
    <t>Cosco Pacific</t>
  </si>
  <si>
    <t>Polar Argentina</t>
  </si>
  <si>
    <t>Iquique</t>
  </si>
  <si>
    <t>Copihue</t>
  </si>
  <si>
    <t>Transmares</t>
  </si>
  <si>
    <t>San Vicente</t>
  </si>
  <si>
    <t>Callao Express</t>
  </si>
  <si>
    <t>Cape Hellas</t>
  </si>
  <si>
    <t>One</t>
  </si>
  <si>
    <t>Guayaquil</t>
  </si>
  <si>
    <t>Seaspan Beauty</t>
  </si>
  <si>
    <t>Seaspan</t>
  </si>
  <si>
    <t>Maersk Acadia</t>
  </si>
  <si>
    <t>Arica</t>
  </si>
  <si>
    <t>Amsterdam Express</t>
  </si>
  <si>
    <t>Rio Grande</t>
  </si>
  <si>
    <t>Cosco Shipping Seine</t>
  </si>
  <si>
    <t>Navios Amarillo</t>
  </si>
  <si>
    <t>Navios</t>
  </si>
  <si>
    <t>Maersk Sarat</t>
  </si>
  <si>
    <t>Cosco Shipping Volga</t>
  </si>
  <si>
    <t>Ever Lyric</t>
  </si>
  <si>
    <t>MSC Nitya B</t>
  </si>
  <si>
    <t>MSC</t>
  </si>
  <si>
    <t>Cristobal</t>
  </si>
  <si>
    <t>MSC Bari</t>
  </si>
  <si>
    <t>Martinique</t>
  </si>
  <si>
    <t>Zeaborn</t>
  </si>
  <si>
    <t>Dusseldorf Express</t>
  </si>
  <si>
    <t>Cosco America</t>
  </si>
  <si>
    <t>Cóndor</t>
  </si>
  <si>
    <t>Stamatis B</t>
  </si>
  <si>
    <t>Maersk Saltoro</t>
  </si>
  <si>
    <t>Mónaco</t>
  </si>
  <si>
    <t>CMA CGM Estelle</t>
  </si>
  <si>
    <t>Polar Colombia</t>
  </si>
  <si>
    <t>MSC Auriga</t>
  </si>
  <si>
    <t>CMA CGM Pregolia</t>
  </si>
  <si>
    <t>Seaspan Hamburg</t>
  </si>
  <si>
    <t>Cosco Shipping Thames</t>
  </si>
  <si>
    <t>Polar Chile</t>
  </si>
  <si>
    <t>Valparaíso Express</t>
  </si>
  <si>
    <t>Aparece desembarque primero</t>
  </si>
  <si>
    <t>Creación vs Aprobación</t>
  </si>
  <si>
    <t>ETA vs ATA (Horas)</t>
  </si>
  <si>
    <t>ETD vs ATD (Horas)</t>
  </si>
  <si>
    <t>Modificaciones ETA</t>
  </si>
  <si>
    <t>Úlimo ETA vs ATA (Horas)</t>
  </si>
  <si>
    <t>Total de Movimientos</t>
  </si>
  <si>
    <t>Clasificación Movimientos</t>
  </si>
  <si>
    <t>ETA Planificado</t>
  </si>
  <si>
    <t>ETA Real</t>
  </si>
  <si>
    <t>ETA Inicial vs Planificado</t>
  </si>
  <si>
    <t>ETA Planificado vs Real</t>
  </si>
  <si>
    <t>ETA Inicial vs Real</t>
  </si>
  <si>
    <t>Modificaciones ETA (Planificación)</t>
  </si>
  <si>
    <t>Tiempo puerto</t>
  </si>
  <si>
    <t>Último ETD</t>
  </si>
  <si>
    <t>One Columba</t>
  </si>
  <si>
    <t>CSCL Asia</t>
  </si>
  <si>
    <t>Loncomilla</t>
  </si>
  <si>
    <t>Maersk Laberinto</t>
  </si>
  <si>
    <t>MSC Brittany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</si>
</sst>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4" fontId="2" fillId="5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22" fontId="2" fillId="5" borderId="0" xfId="0" applyNumberFormat="1" applyFont="1" applyFill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4" borderId="0" xfId="0" applyNumberFormat="1" applyFill="1" applyAlignment="1">
      <alignment horizontal="center"/>
    </xf>
  </cellXfs>
  <cellStyles count="1">
    <cellStyle name="Normal" xfId="0" builtinId="0"/>
  </cellStyles>
  <dxfs count="164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7" formatCode="0.00000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rgb="FFE32D9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7" formatCode="0.00000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</dxf>
    <dxf>
      <numFmt numFmtId="27" formatCode="dd/mm/yyyy\ 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4/Tesis/Planificaci&#243;n.xlsx" TargetMode="External"/><Relationship Id="rId2" Type="http://schemas.openxmlformats.org/officeDocument/2006/relationships/externalLinkPath" Target="file:///C:\Users\May\Documents\2024\Tesis\Planificaci&#243;n.xlsx" TargetMode="External"/><Relationship Id="rId1" Type="http://schemas.openxmlformats.org/officeDocument/2006/relationships/externalLinkPath" Target="/Users/May/Documents/2024/Tesis/Planifica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  <sheetName val="Planificación"/>
      <sheetName val="Planificación OG"/>
      <sheetName val="Naves"/>
      <sheetName val="Resumen Planificación"/>
      <sheetName val="Stats DC"/>
      <sheetName val="Diciembre"/>
      <sheetName val="Enero"/>
      <sheetName val="Naves Dic. STI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A7851-8BEC-42FC-8339-37035603A30F}" name="Table1324" displayName="Table1324" ref="A1:AZ42" totalsRowShown="0" headerRowDxfId="108" dataDxfId="107">
  <autoFilter ref="A1:AZ42" xr:uid="{127A7851-8BEC-42FC-8339-37035603A30F}"/>
  <sortState xmlns:xlrd2="http://schemas.microsoft.com/office/spreadsheetml/2017/richdata2" ref="A2:AP12">
    <sortCondition ref="L1:L42"/>
  </sortState>
  <tableColumns count="52">
    <tableColumn id="1" xr3:uid="{3FE4E555-E006-4EB1-B353-4092AF4BA66B}" name="Nave" dataDxfId="106"/>
    <tableColumn id="34" xr3:uid="{80843D5E-3340-4A6C-8A60-0979AB0D1D82}" name="Naviera" dataDxfId="105"/>
    <tableColumn id="9" xr3:uid="{5036D984-D8EE-46D0-9CA9-5401F1BEA45E}" name="IMO" dataDxfId="104"/>
    <tableColumn id="2" xr3:uid="{0D4D41BC-B956-4EB9-82A3-96AB97006A34}" name="Terminal" dataDxfId="103"/>
    <tableColumn id="11" xr3:uid="{0C3EA577-FFA1-46E8-816A-851C10581011}" name="Contenedores Embarque" dataDxfId="102"/>
    <tableColumn id="10" xr3:uid="{96C4AC9C-9C7F-4EC8-AD00-8D06D45C54FD}" name="Contenedores Desembarque" dataDxfId="101"/>
    <tableColumn id="43" xr3:uid="{D5F3A45E-B80E-4B6B-81A3-15E87460A6F9}" name="Total de Movimientos" dataDxfId="100">
      <calculatedColumnFormula>Table1324[[#This Row],[Contenedores Embarque]]+Table1324[[#This Row],[Contenedores Desembarque]]</calculatedColumnFormula>
    </tableColumn>
    <tableColumn id="44" xr3:uid="{F811FA99-0A0E-47F4-AF71-04539DD04CC3}" name="Clasificación Movimientos" dataDxfId="99">
      <calculatedColumnFormula array="1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calculatedColumnFormula>
    </tableColumn>
    <tableColumn id="12" xr3:uid="{B7300F62-06C9-4CCB-9D82-2E706ADC8E46}" name="Creación Solicitud" dataDxfId="98"/>
    <tableColumn id="3" xr3:uid="{D71D44A1-B60C-4E8B-B58C-36FE647E1CAF}" name="Aprobación solicitud?" dataDxfId="97"/>
    <tableColumn id="36" xr3:uid="{1CDC6735-8AAD-4C57-9DBD-E651D074C684}" name="Creación vs Aprobación" dataDxfId="96">
      <calculatedColumnFormula>DATEDIF(Table1324[[#This Row],[Creación Solicitud]], Table1324[[#This Row],[Aprobación solicitud?]], "d")</calculatedColumnFormula>
    </tableColumn>
    <tableColumn id="4" xr3:uid="{BEF475D6-95ED-44E4-99C9-8C335F777660}" name="ETA Inicial" dataDxfId="95"/>
    <tableColumn id="5" xr3:uid="{AF748BEA-243A-4FEA-80E7-B166CDED49F6}" name="ETA Modificado" dataDxfId="94"/>
    <tableColumn id="8" xr3:uid="{8A09587F-2D49-4B38-BD47-26736BC39EB8}" name="Fecha Modificación ETA" dataDxfId="93"/>
    <tableColumn id="16" xr3:uid="{EC5A4BC1-F0C7-4031-AA72-FAA30C124B74}" name="ETA Modificado 2" dataDxfId="92"/>
    <tableColumn id="17" xr3:uid="{40684A64-36E7-44BE-9B05-A56C931D3015}" name="Fecha Modificación ETA 2" dataDxfId="91"/>
    <tableColumn id="30" xr3:uid="{E8E0271F-9D0A-46C9-8ED3-F95F0E7A7091}" name="ETA Modificado 3" dataDxfId="90"/>
    <tableColumn id="29" xr3:uid="{C0E528C7-03DC-4D81-A38D-E4C58EB5FB7A}" name="Fecha Modificación ETA 3" dataDxfId="89"/>
    <tableColumn id="35" xr3:uid="{865469D5-23EB-4BB8-9A45-AB2B94016CD6}" name="ETA Modificado 4" dataDxfId="88"/>
    <tableColumn id="25" xr3:uid="{2BEB7156-0BCF-4292-8BF7-644B989317E3}" name="Fecha Modificación ETA 4" dataDxfId="87"/>
    <tableColumn id="38" xr3:uid="{531A5CBB-81C4-41F5-91C2-00C9F44C0D8C}" name="ETA Modificado 5" dataDxfId="86"/>
    <tableColumn id="37" xr3:uid="{5C694269-C852-4695-9FC8-066ED9ED73E2}" name="Fecha Modificación ETA 5" dataDxfId="85"/>
    <tableColumn id="19" xr3:uid="{BA11D12C-7021-4317-B4EF-024C45EC6357}" name="Inicio atención nave 1" dataDxfId="84"/>
    <tableColumn id="15" xr3:uid="{6A8B530E-2A82-4138-BEB3-1A47B96B69AC}" name="ETD Inicial" dataDxfId="83"/>
    <tableColumn id="20" xr3:uid="{866F95C8-9497-4CF2-84E4-DD430DF9C26B}" name="Fecha aparición" dataDxfId="82"/>
    <tableColumn id="13" xr3:uid="{3EEB469C-7D68-4261-A136-70F88CBAA9DD}" name="Inicio atención nave 2" dataDxfId="81"/>
    <tableColumn id="14" xr3:uid="{858FA4BE-9905-44C4-A015-E533705A5C6E}" name="ETD 2" dataDxfId="80"/>
    <tableColumn id="23" xr3:uid="{72D02BE5-9A92-49A2-BD66-1F7719E4FE46}" name="Fecha modificación 2" dataDxfId="79"/>
    <tableColumn id="24" xr3:uid="{327B0131-43AB-4269-8ACE-258DFAB90B52}" name="Inicio atención nave 3" dataDxfId="78"/>
    <tableColumn id="22" xr3:uid="{794E9355-D1BE-4031-9065-30117FAF3B0B}" name="ETD 3" dataDxfId="77"/>
    <tableColumn id="21" xr3:uid="{C925F7E7-D621-4857-8C30-94738C4066DC}" name="Fecha modificación 3" dataDxfId="76"/>
    <tableColumn id="28" xr3:uid="{43419419-F974-48A9-B050-AA28F5C96C11}" name="Inicio atención nave 4" dataDxfId="75"/>
    <tableColumn id="27" xr3:uid="{9E0B563D-5B76-4152-9886-F98CC516B9AC}" name="ETD 4" dataDxfId="74"/>
    <tableColumn id="26" xr3:uid="{A94551C6-EDB3-4A7F-889A-7F89FD915E6F}" name="Fecha modificación 4" dataDxfId="73"/>
    <tableColumn id="33" xr3:uid="{3DB25B23-0E53-4845-B3BF-3742DB440DC6}" name="Inicio atención nave 5" dataDxfId="72"/>
    <tableColumn id="32" xr3:uid="{F94E2DD6-698F-4735-8BB3-13FC8B366F01}" name="ETD 5" dataDxfId="71"/>
    <tableColumn id="31" xr3:uid="{5D608799-294A-4DE0-B2AD-F99A8D4EED7F}" name="Fecha modificación 5" dataDxfId="70"/>
    <tableColumn id="46" xr3:uid="{6E9A2A18-DC33-4806-A78C-0435AF837049}" name="ETA Planificado" dataDxfId="69">
      <calculatedColumnFormula>Table1324[[#This Row],[Inicio atención nave 1]]</calculatedColumnFormula>
    </tableColumn>
    <tableColumn id="47" xr3:uid="{0FDF35A3-1173-46CB-B805-AFA0A1A82798}" name="ETA Real" dataDxfId="68"/>
    <tableColumn id="18" xr3:uid="{34C803D3-027B-44AE-ACD6-A48C0D3B3CAF}" name="Puerto Anterior" dataDxfId="67"/>
    <tableColumn id="6" xr3:uid="{267F6EB4-D1BF-4B27-90AB-F9A44E815769}" name="ATD" dataDxfId="66"/>
    <tableColumn id="7" xr3:uid="{CE68D850-D79B-4016-8984-05D633D92294}" name="ATA" dataDxfId="65"/>
    <tableColumn id="42" xr3:uid="{B3E2238D-C0F6-4D3C-A1B9-E6285340AA26}" name="ETA vs ATA (Horas)" dataDxfId="64">
      <calculatedColumnFormula>(Table1324[[#This Row],[ETA Inicial]]-Table1324[[#This Row],[ATA]])*24</calculatedColumnFormula>
    </tableColumn>
    <tableColumn id="39" xr3:uid="{17015292-501F-48AF-AE53-0F4E5332F6CC}" name="Úlimo ETA vs ATA (Horas)" dataDxfId="63">
      <calculatedColumnFormula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calculatedColumnFormula>
    </tableColumn>
    <tableColumn id="40" xr3:uid="{816CE794-78AE-4C7A-AFFC-5126964E45C8}" name="ETD vs ATD (Horas)" dataDxfId="62">
      <calculatedColumnFormula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calculatedColumnFormula>
    </tableColumn>
    <tableColumn id="53" xr3:uid="{9FAB39A4-AAC9-451F-9017-45780146C205}" name="Último ETD" dataDxfId="61">
      <calculatedColumnFormula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calculatedColumnFormula>
    </tableColumn>
    <tableColumn id="41" xr3:uid="{8710F8A4-0F4A-4070-A56A-579C815C5FF9}" name="Modificaciones ETA" dataDxfId="60">
      <calculatedColumnFormula>COUNTA(Table1324[[#This Row],[ETA Modificado]], Table1324[[#This Row],[ETA Modificado 2]], Table1324[[#This Row],[ETA Modificado 3]], Table1324[[#This Row],[ETA Modificado 4]], Table1324[[#This Row],[ETA Modificado 5]])</calculatedColumnFormula>
    </tableColumn>
    <tableColumn id="51" xr3:uid="{4F549882-D47D-4C9C-9A40-89C90F8DE5BB}" name="Modificaciones ETA (Planificación)" dataDxfId="59">
      <calculatedColumnFormula>COUNTA(Table1324[[#This Row],[Inicio atención nave 2]], Table1324[[#This Row],[Inicio atención nave 3]], Table1324[[#This Row],[Inicio atención nave 4]], Table1324[[#This Row],[Inicio atención nave 5]])</calculatedColumnFormula>
    </tableColumn>
    <tableColumn id="48" xr3:uid="{ECC5ABB6-2F75-4B05-BDB9-069364ABFE3E}" name="ETA Inicial vs Planificado" dataDxfId="58">
      <calculatedColumnFormula>ABS((Table1324[[#This Row],[ETA Planificado]]-Table1324[[#This Row],[ETA Inicial]])*24)</calculatedColumnFormula>
    </tableColumn>
    <tableColumn id="49" xr3:uid="{5F955AF4-69B4-47AB-B38B-0B62BBD29943}" name="ETA Planificado vs Real" dataDxfId="57">
      <calculatedColumnFormula>ABS((Table1324[[#This Row],[ETA Real]]-Table1324[[#This Row],[ETA Planificado]])*24)</calculatedColumnFormula>
    </tableColumn>
    <tableColumn id="50" xr3:uid="{8E47B937-DBD3-454E-866D-3DF51A7A8817}" name="ETA Inicial vs Real" dataDxfId="56">
      <calculatedColumnFormula>ABS((Table1324[[#This Row],[ETA Real]]-Table1324[[#This Row],[ETA Inicial]])*24)</calculatedColumnFormula>
    </tableColumn>
    <tableColumn id="52" xr3:uid="{578E238C-F919-4EC5-9391-0339E6E06118}" name="Tiempo puerto" dataDxfId="55">
      <calculatedColumnFormula>(Table1324[[#This Row],[Último ETD]]-Table1324[[#This Row],[ETA Real]])*24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F8CDA-85F6-4516-A83D-92759B100113}" name="Table2" displayName="Table2" ref="A1:AZ15" totalsRowShown="0" headerRowDxfId="163" dataDxfId="162" tableBorderDxfId="161">
  <autoFilter ref="A1:AZ15" xr:uid="{D9AF8CDA-85F6-4516-A83D-92759B100113}"/>
  <tableColumns count="52">
    <tableColumn id="1" xr3:uid="{8518B2BE-193D-4285-8CAD-D25452443CA9}" name="Nave" dataDxfId="160"/>
    <tableColumn id="2" xr3:uid="{1D4E0EDB-3742-479F-B6CD-50ADE9758707}" name="Naviera" dataDxfId="159"/>
    <tableColumn id="3" xr3:uid="{95E51891-A9A4-4304-B818-92662AA12689}" name="IMO" dataDxfId="158"/>
    <tableColumn id="4" xr3:uid="{536B7C38-417F-4790-A6DF-7D16325FC8E8}" name="Terminal" dataDxfId="157"/>
    <tableColumn id="5" xr3:uid="{59E08A94-E5BD-4A0A-A312-1912AA572E4C}" name="Contenedores Embarque" dataDxfId="156"/>
    <tableColumn id="6" xr3:uid="{29F771A2-E22D-4F98-AB85-BD377EED5CDA}" name="Contenedores Desembarque" dataDxfId="155"/>
    <tableColumn id="7" xr3:uid="{5A90C6D8-08E6-4278-A9E7-79103DE7C6E7}" name="Total de Movimientos" dataDxfId="154">
      <calculatedColumnFormula>Table2[[#This Row],[Contenedores Embarque]]+Table2[[#This Row],[Contenedores Desembarque]]</calculatedColumnFormula>
    </tableColumn>
    <tableColumn id="8" xr3:uid="{0A0D6109-3C5D-404D-9CAE-58AF38820F60}" name="Clasificación Movimientos" dataDxfId="153">
      <calculatedColumnFormula array="1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calculatedColumnFormula>
    </tableColumn>
    <tableColumn id="9" xr3:uid="{89BCE258-BC75-41EC-B7DB-90D514B9E7F4}" name="Creación Solicitud" dataDxfId="152"/>
    <tableColumn id="10" xr3:uid="{CD379E06-F1DD-44D4-887D-DE49ACE65B58}" name="Aprobación solicitud?" dataDxfId="151"/>
    <tableColumn id="11" xr3:uid="{87F8A2E0-D8B5-4B1E-A6AF-68FA3B4D7F30}" name="Creación vs Aprobación" dataDxfId="150">
      <calculatedColumnFormula>DATEDIF(Table2[[#This Row],[Creación Solicitud]], Table2[[#This Row],[Aprobación solicitud?]], "d")</calculatedColumnFormula>
    </tableColumn>
    <tableColumn id="12" xr3:uid="{AF441286-7C52-4376-BECE-F178A37A70E1}" name="ETA Inicial" dataDxfId="149"/>
    <tableColumn id="13" xr3:uid="{3649D07F-065A-4A8B-9D41-FCE4C9942827}" name="ETA Modificado" dataDxfId="148"/>
    <tableColumn id="14" xr3:uid="{02EB4AF9-F365-4698-A096-558BB43C11F6}" name="Fecha Modificación ETA" dataDxfId="147"/>
    <tableColumn id="15" xr3:uid="{A54C04EB-39B8-451C-96C1-6CD0D5F92509}" name="ETA Modificado 2" dataDxfId="146"/>
    <tableColumn id="16" xr3:uid="{65633336-2FCD-4FB8-825C-05A603753F50}" name="Fecha Modificación ETA 2" dataDxfId="145"/>
    <tableColumn id="17" xr3:uid="{5ED0D81B-08F8-45E0-B7FD-87385D3F1374}" name="ETA Modificado 3" dataDxfId="144"/>
    <tableColumn id="18" xr3:uid="{7D034F62-C595-45B1-82B1-2F1290821F5B}" name="Fecha Modificación ETA 3" dataDxfId="143"/>
    <tableColumn id="19" xr3:uid="{66F1A720-D59F-40F5-9B99-EA24B23451A9}" name="ETA Modificado 4" dataDxfId="142"/>
    <tableColumn id="20" xr3:uid="{305FD997-B4BF-448A-ADBB-52D0706AF8A9}" name="Fecha Modificación ETA 4" dataDxfId="141"/>
    <tableColumn id="21" xr3:uid="{195808EE-E323-42C5-9152-52AA3C383F53}" name="ETA Modificado 5" dataDxfId="140"/>
    <tableColumn id="22" xr3:uid="{99921FA6-E5D7-49A5-A7A6-DE7448A9584C}" name="Fecha Modificación ETA 5" dataDxfId="139"/>
    <tableColumn id="23" xr3:uid="{B1D40809-6C95-4E66-813C-DD266920FE4D}" name="Inicio atención nave 1" dataDxfId="138"/>
    <tableColumn id="24" xr3:uid="{7A5A76DB-FCD9-4AC6-B778-28C2F98B6496}" name="ETD Inicial" dataDxfId="137"/>
    <tableColumn id="25" xr3:uid="{260D30C7-2389-44DF-84B2-17A91671B53B}" name="Fecha aparición" dataDxfId="136"/>
    <tableColumn id="26" xr3:uid="{791DB293-CD8D-448A-A057-4E2F93725CCC}" name="Inicio atención nave 2" dataDxfId="135"/>
    <tableColumn id="27" xr3:uid="{5F839EAE-3132-41B5-9705-A24A1A76BB35}" name="ETD 2" dataDxfId="134"/>
    <tableColumn id="28" xr3:uid="{3D735271-9F07-4EE8-BB3B-E341424ACF06}" name="Fecha modificación 2" dataDxfId="133"/>
    <tableColumn id="29" xr3:uid="{08876186-F8A4-4FCD-BAE0-C122C7E58833}" name="Inicio atención nave 3" dataDxfId="132"/>
    <tableColumn id="30" xr3:uid="{05803378-A0A6-45A8-823B-07C16B687342}" name="ETD 3" dataDxfId="131"/>
    <tableColumn id="31" xr3:uid="{9ACBD457-630D-488C-B4BC-0256D981DCBE}" name="Fecha modificación 3" dataDxfId="130"/>
    <tableColumn id="32" xr3:uid="{BF4A3CCA-2234-4B38-B5BD-A3334AFCCD27}" name="Inicio atención nave 4" dataDxfId="129"/>
    <tableColumn id="33" xr3:uid="{311A7540-8EC1-4CF8-8642-9DC51B1F4D95}" name="ETD 4" dataDxfId="128"/>
    <tableColumn id="34" xr3:uid="{33B41366-7347-4643-9F56-60487EB92A70}" name="Fecha modificación 4" dataDxfId="127"/>
    <tableColumn id="35" xr3:uid="{6AEB7872-DC2C-4386-8158-A202251734D3}" name="Inicio atención nave 5" dataDxfId="126"/>
    <tableColumn id="36" xr3:uid="{7DFF5E37-4773-418A-91B1-5BFF16E8BAA3}" name="ETD 5" dataDxfId="125"/>
    <tableColumn id="37" xr3:uid="{A968A9F3-BD42-4916-BA66-5031A1B86D5F}" name="Fecha modificación 5" dataDxfId="124"/>
    <tableColumn id="38" xr3:uid="{D27353B4-9463-4B7B-915D-D0F97321AB89}" name="ETA Planificado" dataDxfId="123">
      <calculatedColumnFormula>Table2[[#This Row],[Inicio atención nave 1]]</calculatedColumnFormula>
    </tableColumn>
    <tableColumn id="39" xr3:uid="{6B6AD17F-0808-4968-96F9-1C865F9EA5D1}" name="ETA Real" dataDxfId="122">
      <calculatedColumnFormula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calculatedColumnFormula>
    </tableColumn>
    <tableColumn id="40" xr3:uid="{44D3EE40-ED05-47DC-8363-4F58CB69C0E4}" name="Puerto Anterior" dataDxfId="121"/>
    <tableColumn id="41" xr3:uid="{309DE8A9-621A-406C-AC48-27E36DDB5229}" name="ATD" dataDxfId="120"/>
    <tableColumn id="42" xr3:uid="{5E3FAC76-F1A9-47D5-8416-619EDE7CF9B4}" name="ATA" dataDxfId="119"/>
    <tableColumn id="43" xr3:uid="{C342EF3A-AA36-4277-9989-FB5255574665}" name="ETA vs ATA (Horas)" dataDxfId="118">
      <calculatedColumnFormula>(Table2[[#This Row],[ETA Inicial]]-Table2[[#This Row],[ATA]])*24</calculatedColumnFormula>
    </tableColumn>
    <tableColumn id="44" xr3:uid="{0D0A3013-7E32-42CB-95E9-13D5F64325CF}" name="Úlimo ETA vs ATA (Horas)" dataDxfId="117">
      <calculatedColumnFormula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calculatedColumnFormula>
    </tableColumn>
    <tableColumn id="45" xr3:uid="{A90F0EB0-496D-4FA2-BBF4-8CD37A9A1C2D}" name="ETD vs ATD (Horas)" dataDxfId="116">
      <calculatedColumnFormula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calculatedColumnFormula>
    </tableColumn>
    <tableColumn id="46" xr3:uid="{A1F00062-4043-4324-B4C8-BCA82D3CD6B9}" name="Último ETD" dataDxfId="115">
      <calculatedColumnFormula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calculatedColumnFormula>
    </tableColumn>
    <tableColumn id="47" xr3:uid="{12B4A791-0C57-4319-8240-6D9B302793B7}" name="Modificaciones ETA" dataDxfId="114">
      <calculatedColumnFormula>COUNTA(Table2[[#This Row],[ETA Modificado]],Table2[[#This Row],[ETA Modificado 2]], Table2[[#This Row],[ETA Modificado 3]], Table2[[#This Row],[ETA Modificado 4]], Table2[[#This Row],[ETA Modificado 5]])</calculatedColumnFormula>
    </tableColumn>
    <tableColumn id="48" xr3:uid="{28842049-827B-41A6-874F-6091F08D0B50}" name="Modificaciones ETA (Planificación)" dataDxfId="113">
      <calculatedColumnFormula>COUNTA(Table2[[#This Row],[Inicio atención nave 2]], Table2[[#This Row],[Inicio atención nave 3]], Table2[[#This Row],[Inicio atención nave 4]], Table2[[#This Row],[Inicio atención nave 5]])</calculatedColumnFormula>
    </tableColumn>
    <tableColumn id="49" xr3:uid="{A0643668-90C8-4752-A658-4AEA63F30A6F}" name="ETA Inicial vs Planificado" dataDxfId="112">
      <calculatedColumnFormula>ABS((Table2[[#This Row],[ETA Planificado]]-Table2[[#This Row],[ETA Inicial]])*24)</calculatedColumnFormula>
    </tableColumn>
    <tableColumn id="50" xr3:uid="{584D530A-48DF-4036-BF83-BEC30097F1F5}" name="ETA Planificado vs Real" dataDxfId="111">
      <calculatedColumnFormula>ABS((Table2[[#This Row],[ETA Real]]-Table2[[#This Row],[ETA Planificado]])*24)</calculatedColumnFormula>
    </tableColumn>
    <tableColumn id="51" xr3:uid="{76AE64DD-706D-40ED-9F77-458CE93EA1EE}" name="ETA Inicial vs Real" dataDxfId="110">
      <calculatedColumnFormula>ABS((Table2[[#This Row],[ETA Real]]-Table2[[#This Row],[ETA Inicial]])*24)</calculatedColumnFormula>
    </tableColumn>
    <tableColumn id="52" xr3:uid="{F90D9669-1CF7-4D69-8EB4-4128732DF296}" name="Tiempo puerto" dataDxfId="109">
      <calculatedColumnFormula>(Table2[[#This Row],[Último ETD]]-Table2[[#This Row],[ETA Real]])*24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F33AD8-5D6F-4EB8-A165-556EC5C5B247}" name="Table24" displayName="Table24" ref="A1:AZ10" totalsRowShown="0" headerRowDxfId="54" dataDxfId="53" tableBorderDxfId="52">
  <autoFilter ref="A1:AZ10" xr:uid="{D9AF8CDA-85F6-4516-A83D-92759B100113}"/>
  <tableColumns count="52">
    <tableColumn id="1" xr3:uid="{25E65351-3A2B-4D71-B881-FD5D452AAA76}" name="Nave" dataDxfId="51"/>
    <tableColumn id="2" xr3:uid="{1951E878-E7EC-4C21-8AF8-E96200008A0A}" name="Naviera" dataDxfId="50"/>
    <tableColumn id="3" xr3:uid="{AD59A24C-B642-4867-957A-2122F6C0A7A4}" name="IMO" dataDxfId="49"/>
    <tableColumn id="4" xr3:uid="{723B543A-994C-4D1D-8D36-63C407ABF526}" name="Terminal" dataDxfId="48"/>
    <tableColumn id="5" xr3:uid="{3D4124B5-6B14-4ABB-A27F-B7321C23525D}" name="Contenedores Embarque" dataDxfId="47"/>
    <tableColumn id="6" xr3:uid="{624AA3ED-20F0-40D9-BA36-1653C69730CC}" name="Contenedores Desembarque" dataDxfId="46"/>
    <tableColumn id="7" xr3:uid="{BF35249C-AC1A-4276-8C17-489A139F5D3F}" name="Total de Movimientos" dataDxfId="45">
      <calculatedColumnFormula>Table24[[#This Row],[Contenedores Embarque]]+Table24[[#This Row],[Contenedores Desembarque]]</calculatedColumnFormula>
    </tableColumn>
    <tableColumn id="8" xr3:uid="{3D744280-14E6-4390-A1EB-E5871CA15ADF}" name="Clasificación Movimientos" dataDxfId="44">
      <calculatedColumnFormula array="1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calculatedColumnFormula>
    </tableColumn>
    <tableColumn id="9" xr3:uid="{B2C6E851-479E-4551-8DF4-FD563302153C}" name="Creación Solicitud" dataDxfId="43"/>
    <tableColumn id="10" xr3:uid="{69661B3B-6162-4959-8A65-593681507DF3}" name="Aprobación solicitud?" dataDxfId="42"/>
    <tableColumn id="11" xr3:uid="{383BB0FD-E3E2-4DCA-9531-F2591F149EFA}" name="Creación vs Aprobación" dataDxfId="41">
      <calculatedColumnFormula>DATEDIF(Table24[[#This Row],[Creación Solicitud]], Table24[[#This Row],[Aprobación solicitud?]], "d")</calculatedColumnFormula>
    </tableColumn>
    <tableColumn id="12" xr3:uid="{1FBC3E85-59CE-48E7-A4E0-608929AFB8B4}" name="ETA Inicial" dataDxfId="40"/>
    <tableColumn id="13" xr3:uid="{E9ADF1C6-5A1E-4CAA-8F53-DE4F45925665}" name="ETA Modificado" dataDxfId="39"/>
    <tableColumn id="14" xr3:uid="{D57F7899-C759-423D-9286-206542E500CE}" name="Fecha Modificación ETA" dataDxfId="38"/>
    <tableColumn id="15" xr3:uid="{BC26531E-2459-4ECD-B680-6E3EF10F6221}" name="ETA Modificado 2" dataDxfId="37"/>
    <tableColumn id="16" xr3:uid="{40422050-7E6C-45F2-8EE6-3CE5D660A6BD}" name="Fecha Modificación ETA 2" dataDxfId="36"/>
    <tableColumn id="17" xr3:uid="{583577A8-DC30-4F55-AD35-4310F79B456A}" name="ETA Modificado 3" dataDxfId="35"/>
    <tableColumn id="18" xr3:uid="{BD9ACC6B-0750-4D97-8579-1B323E3A2055}" name="Fecha Modificación ETA 3" dataDxfId="34"/>
    <tableColumn id="19" xr3:uid="{842AA5B6-441D-434B-A352-13943A77BD53}" name="ETA Modificado 4" dataDxfId="33"/>
    <tableColumn id="20" xr3:uid="{EAEDE470-8B35-499E-B7CB-639B23AE3ABD}" name="Fecha Modificación ETA 4" dataDxfId="32"/>
    <tableColumn id="21" xr3:uid="{5C9CCCE6-A2D6-45F4-9FC2-613AAF2F006C}" name="ETA Modificado 5" dataDxfId="31"/>
    <tableColumn id="22" xr3:uid="{671D366F-FBBB-4DC9-A3AF-986A4477713A}" name="Fecha Modificación ETA 5" dataDxfId="30"/>
    <tableColumn id="23" xr3:uid="{0F6BC453-E049-4AA6-9A9B-C7B34598A302}" name="Inicio atención nave 1" dataDxfId="29"/>
    <tableColumn id="24" xr3:uid="{A4D12924-0C09-419B-9137-A00E2BBBDCF1}" name="ETD Inicial" dataDxfId="28"/>
    <tableColumn id="25" xr3:uid="{460F5A0E-600F-4A3E-A8E2-B3DE4E4341E4}" name="Fecha aparición" dataDxfId="27"/>
    <tableColumn id="26" xr3:uid="{E726EEC0-6C16-4522-8C4D-D712D5EF87C7}" name="Inicio atención nave 2" dataDxfId="26"/>
    <tableColumn id="27" xr3:uid="{FA7497BC-3356-49A8-9D47-472A15A9A49E}" name="ETD 2" dataDxfId="25"/>
    <tableColumn id="28" xr3:uid="{923667F2-A8BB-4698-A043-B8364E7C6732}" name="Fecha modificación 2" dataDxfId="24"/>
    <tableColumn id="29" xr3:uid="{46D034CC-937C-49E8-B514-030CA647982B}" name="Inicio atención nave 3" dataDxfId="23"/>
    <tableColumn id="30" xr3:uid="{C5CCF18D-0652-437C-B2D1-9341F55125AA}" name="ETD 3" dataDxfId="22"/>
    <tableColumn id="31" xr3:uid="{14B6746E-1AFE-49D9-8D35-BE42C022B592}" name="Fecha modificación 3" dataDxfId="21"/>
    <tableColumn id="32" xr3:uid="{8AEDC28A-3C1B-4BFF-BAEF-165572E0CE9C}" name="Inicio atención nave 4" dataDxfId="20"/>
    <tableColumn id="33" xr3:uid="{EB0732A7-59FF-43DD-AD12-B254A25308EE}" name="ETD 4" dataDxfId="19"/>
    <tableColumn id="34" xr3:uid="{931FB633-2C46-40EF-A9CE-518B3F5E3E47}" name="Fecha modificación 4" dataDxfId="18"/>
    <tableColumn id="35" xr3:uid="{40373270-C587-4E6D-9C12-FAD8954E5990}" name="Inicio atención nave 5" dataDxfId="17"/>
    <tableColumn id="36" xr3:uid="{32FFA0DC-CD72-4F1E-98D6-42D74FF7B6A3}" name="ETD 5" dataDxfId="16"/>
    <tableColumn id="37" xr3:uid="{194B3E80-BC4D-4BFC-A7F4-C7D1AFEA7F5F}" name="Fecha modificación 5" dataDxfId="15"/>
    <tableColumn id="38" xr3:uid="{6A0F7E51-63D5-4EAB-AAEA-95C0B82B9262}" name="ETA Planificado" dataDxfId="14"/>
    <tableColumn id="39" xr3:uid="{BE0E891C-D51D-41CE-8168-F77F8FF846E6}" name="ETA Real" dataDxfId="13"/>
    <tableColumn id="40" xr3:uid="{B31E7FC3-75A5-4234-9C51-F8ACCE4B52F8}" name="Puerto Anterior" dataDxfId="12"/>
    <tableColumn id="41" xr3:uid="{DEDDD67C-573E-473F-ADC7-4DD1ABAAC265}" name="ATD" dataDxfId="11"/>
    <tableColumn id="42" xr3:uid="{5075A83D-9182-49CF-B80A-625BFAE099F0}" name="ATA" dataDxfId="10"/>
    <tableColumn id="43" xr3:uid="{84F2A706-249C-48F0-B63C-BDF7C06C4AC6}" name="ETA vs ATA (Horas)" dataDxfId="9">
      <calculatedColumnFormula>(Table24[[#This Row],[ETA Inicial]]-Table24[[#This Row],[ATA]])*24</calculatedColumnFormula>
    </tableColumn>
    <tableColumn id="44" xr3:uid="{A1DD672E-A422-4D55-9C88-E99BAA3B5B25}" name="Úlimo ETA vs ATA (Horas)" dataDxfId="8">
      <calculatedColumnFormula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calculatedColumnFormula>
    </tableColumn>
    <tableColumn id="45" xr3:uid="{D8FCB42C-1460-42EF-846A-871514C5D983}" name="ETD vs ATD (Horas)" dataDxfId="7">
      <calculatedColumnFormula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calculatedColumnFormula>
    </tableColumn>
    <tableColumn id="46" xr3:uid="{BD73C637-4CE8-4A11-A902-99EF04D56F0C}" name="Último ETD" dataDxfId="6">
      <calculatedColumnFormula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calculatedColumnFormula>
    </tableColumn>
    <tableColumn id="47" xr3:uid="{2A35794A-2297-44C0-93A1-69E0B1BE8C12}" name="Modificaciones ETA" dataDxfId="5">
      <calculatedColumnFormula>COUNTA(Table24[[#This Row],[ETA Modificado]],Table24[[#This Row],[ETA Modificado 2]], Table24[[#This Row],[ETA Modificado 3]], Table24[[#This Row],[ETA Modificado 4]], Table24[[#This Row],[ETA Modificado 5]])</calculatedColumnFormula>
    </tableColumn>
    <tableColumn id="48" xr3:uid="{9483B0D2-B1F2-4427-981D-B67B3F27E6D5}" name="Modificaciones ETA (Planificación)" dataDxfId="4">
      <calculatedColumnFormula>COUNTA(Table24[[#This Row],[Inicio atención nave 2]], Table24[[#This Row],[Inicio atención nave 3]], Table24[[#This Row],[Inicio atención nave 4]], Table24[[#This Row],[Inicio atención nave 5]])</calculatedColumnFormula>
    </tableColumn>
    <tableColumn id="49" xr3:uid="{CB5F058A-27D8-463B-834B-1CA1A1162779}" name="ETA Inicial vs Planificado" dataDxfId="3">
      <calculatedColumnFormula>ABS((Table24[[#This Row],[ETA Planificado]]-Table24[[#This Row],[ETA Inicial]])*24)</calculatedColumnFormula>
    </tableColumn>
    <tableColumn id="50" xr3:uid="{3EAB6FBB-99EF-41F1-B35C-D0C83F780A91}" name="ETA Planificado vs Real" dataDxfId="2">
      <calculatedColumnFormula>ABS((Table24[[#This Row],[ETA Real]]-Table24[[#This Row],[ETA Planificado]])*24)</calculatedColumnFormula>
    </tableColumn>
    <tableColumn id="51" xr3:uid="{7291AE30-04D6-42E2-99ED-AA5484A1F02A}" name="ETA Inicial vs Real" dataDxfId="1">
      <calculatedColumnFormula>ABS((Table24[[#This Row],[ETA Real]]-Table24[[#This Row],[ETA Inicial]])*24)</calculatedColumnFormula>
    </tableColumn>
    <tableColumn id="52" xr3:uid="{5D6C0BF5-1085-411E-837F-34ED9C68B552}" name="Tiempo puerto" dataDxfId="0">
      <calculatedColumnFormula>(Table24[[#This Row],[Último ETD]]-Table24[[#This Row],[ETA Real]])*24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DF7A3-D602-4B90-8E8F-88320A0FFDE6}">
  <dimension ref="A1:AZ56"/>
  <sheetViews>
    <sheetView tabSelected="1" zoomScale="90" zoomScaleNormal="90" workbookViewId="0">
      <selection activeCell="F9" sqref="F9"/>
    </sheetView>
  </sheetViews>
  <sheetFormatPr defaultRowHeight="14.4" x14ac:dyDescent="0.3"/>
  <cols>
    <col min="1" max="1" width="27.109375" style="1" bestFit="1" customWidth="1"/>
    <col min="2" max="2" width="16.6640625" style="1" bestFit="1" customWidth="1"/>
    <col min="3" max="3" width="9.44140625" style="1" bestFit="1" customWidth="1"/>
    <col min="4" max="4" width="13.77734375" style="1" bestFit="1" customWidth="1"/>
    <col min="5" max="5" width="28.21875" style="1" bestFit="1" customWidth="1"/>
    <col min="6" max="6" width="31.88671875" style="1" bestFit="1" customWidth="1"/>
    <col min="7" max="7" width="24.77734375" style="1" bestFit="1" customWidth="1"/>
    <col min="8" max="8" width="29.21875" style="1" bestFit="1" customWidth="1"/>
    <col min="9" max="9" width="22.109375" style="2" bestFit="1" customWidth="1"/>
    <col min="10" max="10" width="25" style="2" customWidth="1"/>
    <col min="11" max="11" width="26.77734375" style="7" bestFit="1" customWidth="1"/>
    <col min="12" max="12" width="16.6640625" style="3" customWidth="1"/>
    <col min="13" max="13" width="19.109375" style="3" customWidth="1"/>
    <col min="14" max="14" width="26.44140625" style="2" customWidth="1"/>
    <col min="15" max="15" width="20.77734375" style="3" customWidth="1"/>
    <col min="16" max="16" width="27.88671875" style="2" customWidth="1"/>
    <col min="17" max="17" width="20.77734375" style="3" bestFit="1" customWidth="1"/>
    <col min="18" max="18" width="27.88671875" style="2" customWidth="1"/>
    <col min="19" max="19" width="20.77734375" style="2" bestFit="1" customWidth="1"/>
    <col min="20" max="20" width="27.88671875" style="2" customWidth="1"/>
    <col min="21" max="21" width="20.77734375" style="2" bestFit="1" customWidth="1"/>
    <col min="22" max="22" width="27.88671875" style="2" customWidth="1"/>
    <col min="23" max="23" width="25" style="3" customWidth="1"/>
    <col min="24" max="24" width="16.6640625" style="3" bestFit="1" customWidth="1"/>
    <col min="25" max="25" width="19.77734375" style="2" bestFit="1" customWidth="1"/>
    <col min="26" max="26" width="25" style="3" customWidth="1"/>
    <col min="27" max="27" width="16.6640625" style="3" customWidth="1"/>
    <col min="28" max="28" width="24.5546875" style="2" bestFit="1" customWidth="1"/>
    <col min="29" max="29" width="25" style="3" bestFit="1" customWidth="1"/>
    <col min="30" max="30" width="16.6640625" style="3" customWidth="1"/>
    <col min="31" max="31" width="24.5546875" style="2" customWidth="1"/>
    <col min="32" max="32" width="25" style="3" bestFit="1" customWidth="1"/>
    <col min="33" max="33" width="16.6640625" style="3" bestFit="1" customWidth="1"/>
    <col min="34" max="34" width="24.5546875" style="2" customWidth="1"/>
    <col min="35" max="35" width="25" style="3" bestFit="1" customWidth="1"/>
    <col min="36" max="36" width="16.6640625" style="3" customWidth="1"/>
    <col min="37" max="37" width="24.5546875" style="2" customWidth="1"/>
    <col min="38" max="38" width="19.21875" style="2" customWidth="1"/>
    <col min="39" max="39" width="16.6640625" style="2" customWidth="1"/>
    <col min="40" max="40" width="19.21875" style="1" customWidth="1"/>
    <col min="41" max="42" width="16.6640625" style="3" customWidth="1"/>
    <col min="43" max="43" width="22.109375" style="3" customWidth="1"/>
    <col min="44" max="44" width="27.88671875" style="1" customWidth="1"/>
    <col min="45" max="45" width="22.5546875" style="1" customWidth="1"/>
    <col min="46" max="46" width="16.6640625" style="1" bestFit="1" customWidth="1"/>
    <col min="47" max="47" width="22.77734375" style="1" bestFit="1" customWidth="1"/>
    <col min="48" max="48" width="35.88671875" style="1" customWidth="1"/>
    <col min="49" max="49" width="27.5546875" style="1" bestFit="1" customWidth="1"/>
    <col min="50" max="50" width="26.109375" style="1" bestFit="1" customWidth="1"/>
    <col min="51" max="51" width="21.6640625" style="1" bestFit="1" customWidth="1"/>
    <col min="52" max="52" width="18.77734375" style="1" bestFit="1" customWidth="1"/>
    <col min="53" max="16384" width="8.88671875" style="1"/>
  </cols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110</v>
      </c>
      <c r="H1" s="1" t="s">
        <v>111</v>
      </c>
      <c r="I1" s="2" t="s">
        <v>6</v>
      </c>
      <c r="J1" s="2" t="s">
        <v>7</v>
      </c>
      <c r="K1" s="7" t="s">
        <v>105</v>
      </c>
      <c r="L1" s="3" t="s">
        <v>8</v>
      </c>
      <c r="M1" s="3" t="s">
        <v>9</v>
      </c>
      <c r="N1" s="2" t="s">
        <v>10</v>
      </c>
      <c r="O1" s="3" t="s">
        <v>11</v>
      </c>
      <c r="P1" s="2" t="s">
        <v>12</v>
      </c>
      <c r="Q1" s="3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3" t="s">
        <v>19</v>
      </c>
      <c r="X1" s="3" t="s">
        <v>20</v>
      </c>
      <c r="Y1" s="2" t="s">
        <v>21</v>
      </c>
      <c r="Z1" s="3" t="s">
        <v>22</v>
      </c>
      <c r="AA1" s="3" t="s">
        <v>23</v>
      </c>
      <c r="AB1" s="2" t="s">
        <v>24</v>
      </c>
      <c r="AC1" s="3" t="s">
        <v>25</v>
      </c>
      <c r="AD1" s="3" t="s">
        <v>26</v>
      </c>
      <c r="AE1" s="2" t="s">
        <v>27</v>
      </c>
      <c r="AF1" s="3" t="s">
        <v>28</v>
      </c>
      <c r="AG1" s="3" t="s">
        <v>29</v>
      </c>
      <c r="AH1" s="2" t="s">
        <v>30</v>
      </c>
      <c r="AI1" s="3" t="s">
        <v>31</v>
      </c>
      <c r="AJ1" s="3" t="s">
        <v>32</v>
      </c>
      <c r="AK1" s="2" t="s">
        <v>33</v>
      </c>
      <c r="AL1" s="2" t="s">
        <v>112</v>
      </c>
      <c r="AM1" s="2" t="s">
        <v>113</v>
      </c>
      <c r="AN1" s="1" t="s">
        <v>34</v>
      </c>
      <c r="AO1" s="3" t="s">
        <v>35</v>
      </c>
      <c r="AP1" s="3" t="s">
        <v>36</v>
      </c>
      <c r="AQ1" s="3" t="s">
        <v>106</v>
      </c>
      <c r="AR1" s="1" t="s">
        <v>109</v>
      </c>
      <c r="AS1" s="1" t="s">
        <v>107</v>
      </c>
      <c r="AT1" s="1" t="s">
        <v>119</v>
      </c>
      <c r="AU1" s="1" t="s">
        <v>108</v>
      </c>
      <c r="AV1" s="1" t="s">
        <v>117</v>
      </c>
      <c r="AW1" s="1" t="s">
        <v>114</v>
      </c>
      <c r="AX1" s="1" t="s">
        <v>115</v>
      </c>
      <c r="AY1" s="1" t="s">
        <v>116</v>
      </c>
      <c r="AZ1" s="1" t="s">
        <v>118</v>
      </c>
    </row>
    <row r="2" spans="1:52" x14ac:dyDescent="0.3">
      <c r="A2" s="1" t="s">
        <v>40</v>
      </c>
      <c r="B2" s="1" t="s">
        <v>41</v>
      </c>
      <c r="C2" s="1">
        <v>9166792</v>
      </c>
      <c r="D2" s="1" t="s">
        <v>38</v>
      </c>
      <c r="E2" s="1">
        <v>1500</v>
      </c>
      <c r="F2" s="1">
        <v>1100</v>
      </c>
      <c r="G2" s="1">
        <f>Table1324[[#This Row],[Contenedores Embarque]]+Table1324[[#This Row],[Contenedores Desembarque]]</f>
        <v>2600</v>
      </c>
      <c r="H2" s="1" t="str" cm="1">
        <f t="array" ref="H2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2" s="2">
        <v>45620</v>
      </c>
      <c r="J2" s="2">
        <v>45621</v>
      </c>
      <c r="K2" s="7">
        <f>DATEDIF(Table1324[[#This Row],[Creación Solicitud]], Table1324[[#This Row],[Aprobación solicitud?]], "d")</f>
        <v>1</v>
      </c>
      <c r="L2" s="3">
        <v>45628.5</v>
      </c>
      <c r="M2" s="3">
        <v>45628.458333333336</v>
      </c>
      <c r="N2" s="2">
        <v>45628</v>
      </c>
      <c r="W2" s="3">
        <v>45628.5</v>
      </c>
      <c r="X2" s="3">
        <v>45630.583333333336</v>
      </c>
      <c r="Y2" s="2">
        <v>45625</v>
      </c>
      <c r="Z2" s="3">
        <v>45628.458333333336</v>
      </c>
      <c r="AA2" s="3">
        <v>45630.916666666664</v>
      </c>
      <c r="AB2" s="2">
        <v>45626</v>
      </c>
      <c r="AL2" s="3">
        <f>Table1324[[#This Row],[Inicio atención nave 1]]</f>
        <v>45628.5</v>
      </c>
      <c r="AM2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45628.458333333336</v>
      </c>
      <c r="AN2" s="3" t="s">
        <v>42</v>
      </c>
      <c r="AO2" s="3">
        <v>45626.382638888892</v>
      </c>
      <c r="AP2" s="3">
        <v>45628.476388888892</v>
      </c>
      <c r="AQ2" s="11">
        <f>(Table1324[[#This Row],[ETA Inicial]]-Table1324[[#This Row],[ATA]])*24</f>
        <v>0.56666666659293696</v>
      </c>
      <c r="AR2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0.43333333334885538</v>
      </c>
      <c r="AS2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7.9999999998835847</v>
      </c>
      <c r="AT2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45630.916666666664</v>
      </c>
      <c r="AU2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" s="7">
        <f>COUNTA(Table1324[[#This Row],[Inicio atención nave 2]], Table1324[[#This Row],[Inicio atención nave 3]], Table1324[[#This Row],[Inicio atención nave 4]], Table1324[[#This Row],[Inicio atención nave 5]])</f>
        <v>1</v>
      </c>
      <c r="AW2" s="10">
        <f>ABS((Table1324[[#This Row],[ETA Planificado]]-Table1324[[#This Row],[ETA Inicial]])*24)</f>
        <v>0</v>
      </c>
      <c r="AX2" s="7">
        <f>ABS((Table1324[[#This Row],[ETA Real]]-Table1324[[#This Row],[ETA Planificado]])*24)</f>
        <v>0.99999999994179234</v>
      </c>
      <c r="AY2" s="7">
        <f>ABS((Table1324[[#This Row],[ETA Real]]-Table1324[[#This Row],[ETA Inicial]])*24)</f>
        <v>0.99999999994179234</v>
      </c>
      <c r="AZ2" s="7">
        <f>(Table1324[[#This Row],[Último ETD]]-Table1324[[#This Row],[ETA Real]])*24</f>
        <v>58.999999999883585</v>
      </c>
    </row>
    <row r="3" spans="1:52" x14ac:dyDescent="0.3">
      <c r="A3" s="1" t="s">
        <v>43</v>
      </c>
      <c r="B3" s="1" t="s">
        <v>44</v>
      </c>
      <c r="C3" s="1">
        <v>9729104</v>
      </c>
      <c r="D3" s="1" t="s">
        <v>45</v>
      </c>
      <c r="E3" s="1">
        <v>1800</v>
      </c>
      <c r="F3" s="1">
        <v>1500</v>
      </c>
      <c r="G3" s="1">
        <f>Table1324[[#This Row],[Contenedores Embarque]]+Table1324[[#This Row],[Contenedores Desembarque]]</f>
        <v>3300</v>
      </c>
      <c r="H3" s="1" t="str" cm="1">
        <f t="array" ref="H3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3" s="2">
        <v>45621</v>
      </c>
      <c r="J3" s="2">
        <v>45622</v>
      </c>
      <c r="K3" s="7">
        <f>DATEDIF(Table1324[[#This Row],[Creación Solicitud]], Table1324[[#This Row],[Aprobación solicitud?]], "d")</f>
        <v>1</v>
      </c>
      <c r="L3" s="3">
        <v>45629.458333333336</v>
      </c>
      <c r="M3" s="3">
        <v>45629.875</v>
      </c>
      <c r="N3" s="2">
        <v>45627</v>
      </c>
      <c r="W3" s="3">
        <v>45629.875</v>
      </c>
      <c r="X3" s="3">
        <v>45632.666666666664</v>
      </c>
      <c r="Y3" s="2">
        <v>45626</v>
      </c>
      <c r="Z3" s="3">
        <v>45629.916666666664</v>
      </c>
      <c r="AA3" s="3">
        <v>45632.666666666664</v>
      </c>
      <c r="AB3" s="2">
        <v>45629</v>
      </c>
      <c r="AC3" s="3">
        <v>45629.916666666664</v>
      </c>
      <c r="AD3" s="3">
        <v>45633.625</v>
      </c>
      <c r="AE3" s="2">
        <v>45631</v>
      </c>
      <c r="AL3" s="3">
        <f>Table1324[[#This Row],[Inicio atención nave 1]]</f>
        <v>45629.875</v>
      </c>
      <c r="AM3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45629.916666666664</v>
      </c>
      <c r="AN3" s="3" t="s">
        <v>39</v>
      </c>
      <c r="AO3" s="3">
        <v>45626.026388888888</v>
      </c>
      <c r="AP3" s="3">
        <v>45629.992361111108</v>
      </c>
      <c r="AQ3" s="11">
        <f>(Table1324[[#This Row],[ETA Inicial]]-Table1324[[#This Row],[ATA]])*24</f>
        <v>-12.816666666534729</v>
      </c>
      <c r="AR3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2.816666666592937</v>
      </c>
      <c r="AS3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23.000000000058208</v>
      </c>
      <c r="AT3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45633.625</v>
      </c>
      <c r="AU3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3" s="7">
        <f>COUNTA(Table1324[[#This Row],[Inicio atención nave 2]], Table1324[[#This Row],[Inicio atención nave 3]], Table1324[[#This Row],[Inicio atención nave 4]], Table1324[[#This Row],[Inicio atención nave 5]])</f>
        <v>2</v>
      </c>
      <c r="AW3" s="7">
        <f>ABS((Table1324[[#This Row],[ETA Planificado]]-Table1324[[#This Row],[ETA Inicial]])*24)</f>
        <v>9.9999999999417923</v>
      </c>
      <c r="AX3" s="7">
        <f>ABS((Table1324[[#This Row],[ETA Real]]-Table1324[[#This Row],[ETA Planificado]])*24)</f>
        <v>0.99999999994179234</v>
      </c>
      <c r="AY3" s="7">
        <f>ABS((Table1324[[#This Row],[ETA Real]]-Table1324[[#This Row],[ETA Inicial]])*24)</f>
        <v>10.999999999883585</v>
      </c>
      <c r="AZ3" s="7">
        <f>(Table1324[[#This Row],[Último ETD]]-Table1324[[#This Row],[ETA Real]])*24</f>
        <v>89.000000000058208</v>
      </c>
    </row>
    <row r="4" spans="1:52" x14ac:dyDescent="0.3">
      <c r="A4" s="1" t="s">
        <v>46</v>
      </c>
      <c r="B4" s="1" t="s">
        <v>41</v>
      </c>
      <c r="C4" s="1">
        <v>9283203</v>
      </c>
      <c r="D4" s="1" t="s">
        <v>45</v>
      </c>
      <c r="E4" s="1">
        <v>1000</v>
      </c>
      <c r="G4" s="1">
        <f>Table1324[[#This Row],[Contenedores Embarque]]+Table1324[[#This Row],[Contenedores Desembarque]]</f>
        <v>1000</v>
      </c>
      <c r="H4" s="1" t="str" cm="1">
        <f t="array" ref="H4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4" s="2">
        <v>45620</v>
      </c>
      <c r="J4" s="2">
        <v>45624</v>
      </c>
      <c r="K4" s="7">
        <f>DATEDIF(Table1324[[#This Row],[Creación Solicitud]], Table1324[[#This Row],[Aprobación solicitud?]], "d")</f>
        <v>4</v>
      </c>
      <c r="L4" s="3">
        <v>45631.5</v>
      </c>
      <c r="M4" s="3">
        <v>45630.416666666664</v>
      </c>
      <c r="N4" s="2">
        <v>45628</v>
      </c>
      <c r="O4" s="3">
        <v>45630.3125</v>
      </c>
      <c r="P4" s="2">
        <v>45631</v>
      </c>
      <c r="W4" s="3">
        <v>45634.291666666664</v>
      </c>
      <c r="X4" s="3">
        <v>45635.666666666664</v>
      </c>
      <c r="Y4" s="2">
        <v>45631</v>
      </c>
      <c r="Z4" s="3">
        <v>45634.3125</v>
      </c>
      <c r="AA4" s="3">
        <v>45635.5</v>
      </c>
      <c r="AB4" s="2">
        <v>45633</v>
      </c>
      <c r="AC4" s="3">
        <v>45634.384027777778</v>
      </c>
      <c r="AD4" s="3">
        <v>45635.5</v>
      </c>
      <c r="AE4" s="2">
        <v>45634</v>
      </c>
      <c r="AF4" s="3">
        <v>45634.384027777778</v>
      </c>
      <c r="AG4" s="3">
        <v>45635.208333333336</v>
      </c>
      <c r="AH4" s="2">
        <v>45635</v>
      </c>
      <c r="AL4" s="3">
        <f>Table1324[[#This Row],[Inicio atención nave 1]]</f>
        <v>45634.291666666664</v>
      </c>
      <c r="AM4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45634.384027777778</v>
      </c>
      <c r="AN4" s="3" t="s">
        <v>47</v>
      </c>
      <c r="AO4" s="3">
        <v>45618.458333333336</v>
      </c>
      <c r="AP4" s="3">
        <v>45630.395138888889</v>
      </c>
      <c r="AQ4" s="11">
        <f>(Table1324[[#This Row],[ETA Inicial]]-Table1324[[#This Row],[ATA]])*24</f>
        <v>26.516666666662786</v>
      </c>
      <c r="AR4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1.9833333333372138</v>
      </c>
      <c r="AS4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-10.999999999883585</v>
      </c>
      <c r="AT4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45635.208333333336</v>
      </c>
      <c r="AU4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4" s="7">
        <f>COUNTA(Table1324[[#This Row],[Inicio atención nave 2]], Table1324[[#This Row],[Inicio atención nave 3]], Table1324[[#This Row],[Inicio atención nave 4]], Table1324[[#This Row],[Inicio atención nave 5]])</f>
        <v>3</v>
      </c>
      <c r="AW4" s="7">
        <f>ABS((Table1324[[#This Row],[ETA Planificado]]-Table1324[[#This Row],[ETA Inicial]])*24)</f>
        <v>66.999999999941792</v>
      </c>
      <c r="AX4" s="7">
        <f>ABS((Table1324[[#This Row],[ETA Real]]-Table1324[[#This Row],[ETA Planificado]])*24)</f>
        <v>2.2166666667326353</v>
      </c>
      <c r="AY4" s="7">
        <f>ABS((Table1324[[#This Row],[ETA Real]]-Table1324[[#This Row],[ETA Inicial]])*24)</f>
        <v>69.216666666674428</v>
      </c>
      <c r="AZ4" s="7">
        <f>(Table1324[[#This Row],[Último ETD]]-Table1324[[#This Row],[ETA Real]])*24</f>
        <v>19.78333333338378</v>
      </c>
    </row>
    <row r="5" spans="1:52" x14ac:dyDescent="0.3">
      <c r="A5" s="1" t="s">
        <v>48</v>
      </c>
      <c r="B5" s="1" t="s">
        <v>49</v>
      </c>
      <c r="C5" s="1">
        <v>9743497</v>
      </c>
      <c r="D5" s="1" t="s">
        <v>45</v>
      </c>
      <c r="E5" s="1">
        <v>500</v>
      </c>
      <c r="F5" s="1">
        <v>800</v>
      </c>
      <c r="G5" s="1">
        <f>Table1324[[#This Row],[Contenedores Embarque]]+Table1324[[#This Row],[Contenedores Desembarque]]</f>
        <v>1300</v>
      </c>
      <c r="H5" s="1" t="str" cm="1">
        <f t="array" ref="H5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5" s="2">
        <v>45624</v>
      </c>
      <c r="J5" s="2">
        <v>45625</v>
      </c>
      <c r="K5" s="7">
        <f>DATEDIF(Table1324[[#This Row],[Creación Solicitud]], Table1324[[#This Row],[Aprobación solicitud?]], "d")</f>
        <v>1</v>
      </c>
      <c r="L5" s="3">
        <v>45631.5</v>
      </c>
      <c r="M5" s="3">
        <v>45631.541666666664</v>
      </c>
      <c r="N5" s="2">
        <v>45630</v>
      </c>
      <c r="W5" s="3">
        <v>45631.583333333336</v>
      </c>
      <c r="X5" s="3">
        <v>45632.999305555553</v>
      </c>
      <c r="Y5" s="2">
        <v>45628</v>
      </c>
      <c r="Z5" s="3">
        <v>45631.541666666664</v>
      </c>
      <c r="AA5" s="3">
        <v>45632.999305555553</v>
      </c>
      <c r="AB5" s="2">
        <v>45630</v>
      </c>
      <c r="AC5" s="3">
        <v>45631.541666666664</v>
      </c>
      <c r="AD5" s="3">
        <v>45632.958333333336</v>
      </c>
      <c r="AE5" s="2">
        <v>45631</v>
      </c>
      <c r="AF5" s="3">
        <v>45631.541666666664</v>
      </c>
      <c r="AG5" s="3">
        <v>45633.5</v>
      </c>
      <c r="AH5" s="2">
        <v>45632</v>
      </c>
      <c r="AL5" s="3">
        <f>Table1324[[#This Row],[Inicio atención nave 1]]</f>
        <v>45631.583333333336</v>
      </c>
      <c r="AM5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45631.541666666664</v>
      </c>
      <c r="AN5" s="3" t="s">
        <v>39</v>
      </c>
      <c r="AO5" s="3">
        <v>45628.038888888892</v>
      </c>
      <c r="AP5" s="3">
        <v>45631.551388888889</v>
      </c>
      <c r="AQ5" s="11">
        <f>(Table1324[[#This Row],[ETA Inicial]]-Table1324[[#This Row],[ATA]])*24</f>
        <v>-1.2333333333372138</v>
      </c>
      <c r="AR5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0.2333333333954215</v>
      </c>
      <c r="AS5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12.016666666720994</v>
      </c>
      <c r="AT5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45633.5</v>
      </c>
      <c r="AU5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5" s="7">
        <f>COUNTA(Table1324[[#This Row],[Inicio atención nave 2]], Table1324[[#This Row],[Inicio atención nave 3]], Table1324[[#This Row],[Inicio atención nave 4]], Table1324[[#This Row],[Inicio atención nave 5]])</f>
        <v>3</v>
      </c>
      <c r="AW5" s="7">
        <f>ABS((Table1324[[#This Row],[ETA Planificado]]-Table1324[[#This Row],[ETA Inicial]])*24)</f>
        <v>2.0000000000582077</v>
      </c>
      <c r="AX5" s="7">
        <f>ABS((Table1324[[#This Row],[ETA Real]]-Table1324[[#This Row],[ETA Planificado]])*24)</f>
        <v>1.0000000001164153</v>
      </c>
      <c r="AY5" s="7">
        <f>ABS((Table1324[[#This Row],[ETA Real]]-Table1324[[#This Row],[ETA Inicial]])*24)</f>
        <v>0.99999999994179234</v>
      </c>
      <c r="AZ5" s="7">
        <f>(Table1324[[#This Row],[Último ETD]]-Table1324[[#This Row],[ETA Real]])*24</f>
        <v>47.000000000058208</v>
      </c>
    </row>
    <row r="6" spans="1:52" x14ac:dyDescent="0.3">
      <c r="A6" s="1" t="s">
        <v>50</v>
      </c>
      <c r="B6" s="1" t="s">
        <v>41</v>
      </c>
      <c r="C6" s="1">
        <v>9943085</v>
      </c>
      <c r="D6" s="1" t="s">
        <v>38</v>
      </c>
      <c r="E6" s="1">
        <v>500</v>
      </c>
      <c r="F6" s="1">
        <v>450</v>
      </c>
      <c r="G6" s="1">
        <f>Table1324[[#This Row],[Contenedores Embarque]]+Table1324[[#This Row],[Contenedores Desembarque]]</f>
        <v>950</v>
      </c>
      <c r="H6" s="1" t="str" cm="1">
        <f t="array" ref="H6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6" s="2">
        <v>45620</v>
      </c>
      <c r="J6" s="2">
        <v>45625</v>
      </c>
      <c r="K6" s="7">
        <f>DATEDIF(Table1324[[#This Row],[Creación Solicitud]], Table1324[[#This Row],[Aprobación solicitud?]], "d")</f>
        <v>5</v>
      </c>
      <c r="L6" s="3">
        <v>45632.25</v>
      </c>
      <c r="M6" s="3">
        <v>45631.875</v>
      </c>
      <c r="N6" s="2">
        <v>45629</v>
      </c>
      <c r="O6" s="3">
        <v>45631.770833333336</v>
      </c>
      <c r="P6" s="2">
        <v>45631</v>
      </c>
      <c r="W6" s="3">
        <v>45631.875</v>
      </c>
      <c r="X6" s="3">
        <v>45633.208333333336</v>
      </c>
      <c r="Y6" s="2">
        <v>45630</v>
      </c>
      <c r="AL6" s="3">
        <f>Table1324[[#This Row],[Inicio atención nave 1]]</f>
        <v>45631.875</v>
      </c>
      <c r="AM6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45631.875</v>
      </c>
      <c r="AN6" s="3" t="s">
        <v>51</v>
      </c>
      <c r="AO6" s="3">
        <v>45629.834027777775</v>
      </c>
      <c r="AP6" s="3">
        <v>45631.881944444445</v>
      </c>
      <c r="AQ6" s="11">
        <f>(Table1324[[#This Row],[ETA Inicial]]-Table1324[[#This Row],[ATA]])*24</f>
        <v>8.8333333333139308</v>
      </c>
      <c r="AR6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2.6666666666278616</v>
      </c>
      <c r="AS6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6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45633.208333333336</v>
      </c>
      <c r="AU6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6" s="7">
        <f>COUNTA(Table1324[[#This Row],[Inicio atención nave 2]], Table1324[[#This Row],[Inicio atención nave 3]], Table1324[[#This Row],[Inicio atención nave 4]], Table1324[[#This Row],[Inicio atención nave 5]])</f>
        <v>0</v>
      </c>
      <c r="AW6" s="7">
        <f>ABS((Table1324[[#This Row],[ETA Planificado]]-Table1324[[#This Row],[ETA Inicial]])*24)</f>
        <v>9</v>
      </c>
      <c r="AX6" s="7">
        <f>ABS((Table1324[[#This Row],[ETA Real]]-Table1324[[#This Row],[ETA Planificado]])*24)</f>
        <v>0</v>
      </c>
      <c r="AY6" s="7">
        <f>ABS((Table1324[[#This Row],[ETA Real]]-Table1324[[#This Row],[ETA Inicial]])*24)</f>
        <v>9</v>
      </c>
      <c r="AZ6" s="7">
        <f>(Table1324[[#This Row],[Último ETD]]-Table1324[[#This Row],[ETA Real]])*24</f>
        <v>32.000000000058208</v>
      </c>
    </row>
    <row r="7" spans="1:52" x14ac:dyDescent="0.3">
      <c r="A7" s="4" t="s">
        <v>52</v>
      </c>
      <c r="B7" s="1" t="s">
        <v>41</v>
      </c>
      <c r="C7" s="1">
        <v>9928205</v>
      </c>
      <c r="D7" s="1" t="s">
        <v>38</v>
      </c>
      <c r="E7" s="1">
        <v>490</v>
      </c>
      <c r="F7" s="1">
        <v>450</v>
      </c>
      <c r="G7" s="1">
        <f>Table1324[[#This Row],[Contenedores Embarque]]+Table1324[[#This Row],[Contenedores Desembarque]]</f>
        <v>940</v>
      </c>
      <c r="H7" s="1" t="str" cm="1">
        <f t="array" ref="H7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7" s="2">
        <v>45620</v>
      </c>
      <c r="J7" s="2">
        <v>45626</v>
      </c>
      <c r="K7" s="7">
        <f>DATEDIF(Table1324[[#This Row],[Creación Solicitud]], Table1324[[#This Row],[Aprobación solicitud?]], "d")</f>
        <v>6</v>
      </c>
      <c r="L7" s="3">
        <v>45633.166666666664</v>
      </c>
      <c r="M7" s="3">
        <v>45633.25</v>
      </c>
      <c r="N7" s="2">
        <v>45633</v>
      </c>
      <c r="W7" s="3">
        <v>45633.25</v>
      </c>
      <c r="X7" s="3">
        <v>45634.5</v>
      </c>
      <c r="Y7" s="2">
        <v>45630</v>
      </c>
      <c r="Z7" s="3">
        <v>45633.270833333336</v>
      </c>
      <c r="AA7" s="3">
        <v>45634.1875</v>
      </c>
      <c r="AB7" s="2">
        <v>45633</v>
      </c>
      <c r="AL7" s="3">
        <f>Table1324[[#This Row],[Inicio atención nave 1]]</f>
        <v>45633.25</v>
      </c>
      <c r="AM7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45633.270833333336</v>
      </c>
      <c r="AN7" s="3" t="s">
        <v>53</v>
      </c>
      <c r="AO7" s="3">
        <v>45625.017361111109</v>
      </c>
      <c r="AP7" s="3">
        <v>45633.254166666666</v>
      </c>
      <c r="AQ7" s="11">
        <f>(Table1324[[#This Row],[ETA Inicial]]-Table1324[[#This Row],[ATA]])*24</f>
        <v>-2.1000000000349246</v>
      </c>
      <c r="AR7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9.9999999976716936E-2</v>
      </c>
      <c r="AS7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-7.5</v>
      </c>
      <c r="AT7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45634.1875</v>
      </c>
      <c r="AU7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7" s="7">
        <f>COUNTA(Table1324[[#This Row],[Inicio atención nave 2]], Table1324[[#This Row],[Inicio atención nave 3]], Table1324[[#This Row],[Inicio atención nave 4]], Table1324[[#This Row],[Inicio atención nave 5]])</f>
        <v>1</v>
      </c>
      <c r="AW7" s="7">
        <f>ABS((Table1324[[#This Row],[ETA Planificado]]-Table1324[[#This Row],[ETA Inicial]])*24)</f>
        <v>2.0000000000582077</v>
      </c>
      <c r="AX7" s="7">
        <f>ABS((Table1324[[#This Row],[ETA Real]]-Table1324[[#This Row],[ETA Planificado]])*24)</f>
        <v>0.50000000005820766</v>
      </c>
      <c r="AY7" s="7">
        <f>ABS((Table1324[[#This Row],[ETA Real]]-Table1324[[#This Row],[ETA Inicial]])*24)</f>
        <v>2.5000000001164153</v>
      </c>
      <c r="AZ7" s="7">
        <f>(Table1324[[#This Row],[Último ETD]]-Table1324[[#This Row],[ETA Real]])*24</f>
        <v>21.999999999941792</v>
      </c>
    </row>
    <row r="8" spans="1:52" x14ac:dyDescent="0.3">
      <c r="A8" s="1" t="s">
        <v>54</v>
      </c>
      <c r="B8" s="1" t="s">
        <v>55</v>
      </c>
      <c r="C8" s="1">
        <v>9305594</v>
      </c>
      <c r="D8" s="1" t="s">
        <v>38</v>
      </c>
      <c r="E8" s="1">
        <v>600</v>
      </c>
      <c r="F8" s="1">
        <v>800</v>
      </c>
      <c r="G8" s="1">
        <f>Table1324[[#This Row],[Contenedores Embarque]]+Table1324[[#This Row],[Contenedores Desembarque]]</f>
        <v>1400</v>
      </c>
      <c r="H8" s="1" t="str" cm="1">
        <f t="array" ref="H8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8" s="2">
        <v>45624</v>
      </c>
      <c r="J8" s="2">
        <v>45626</v>
      </c>
      <c r="K8" s="7">
        <f>DATEDIF(Table1324[[#This Row],[Creación Solicitud]], Table1324[[#This Row],[Aprobación solicitud?]], "d")</f>
        <v>2</v>
      </c>
      <c r="L8" s="3">
        <v>45633.5</v>
      </c>
      <c r="M8" s="3">
        <v>45633.916666666664</v>
      </c>
      <c r="N8" s="2">
        <v>45633</v>
      </c>
      <c r="W8" s="3">
        <v>45633.916666666664</v>
      </c>
      <c r="X8" s="3">
        <v>45635.541666666664</v>
      </c>
      <c r="Y8" s="2">
        <v>45631</v>
      </c>
      <c r="Z8" s="3">
        <v>45633.916666666664</v>
      </c>
      <c r="AA8" s="3">
        <v>45635.666666666664</v>
      </c>
      <c r="AB8" s="2">
        <v>45633</v>
      </c>
      <c r="AC8" s="3">
        <v>45633.916666666664</v>
      </c>
      <c r="AD8" s="3">
        <v>45635.833333333336</v>
      </c>
      <c r="AE8" s="2">
        <v>45635</v>
      </c>
      <c r="AL8" s="3">
        <f>Table1324[[#This Row],[Inicio atención nave 1]]</f>
        <v>45633.916666666664</v>
      </c>
      <c r="AM8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45633.916666666664</v>
      </c>
      <c r="AN8" s="3" t="s">
        <v>56</v>
      </c>
      <c r="AO8" s="3">
        <v>45633.161805555559</v>
      </c>
      <c r="AP8" s="3">
        <v>45633.925000000003</v>
      </c>
      <c r="AQ8" s="11">
        <f>(Table1324[[#This Row],[ETA Inicial]]-Table1324[[#This Row],[ATA]])*24</f>
        <v>-10.200000000069849</v>
      </c>
      <c r="AR8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0.20000000012805685</v>
      </c>
      <c r="AS8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7.0000000001164153</v>
      </c>
      <c r="AT8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45635.833333333336</v>
      </c>
      <c r="AU8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8" s="7">
        <f>COUNTA(Table1324[[#This Row],[Inicio atención nave 2]], Table1324[[#This Row],[Inicio atención nave 3]], Table1324[[#This Row],[Inicio atención nave 4]], Table1324[[#This Row],[Inicio atención nave 5]])</f>
        <v>2</v>
      </c>
      <c r="AW8" s="7">
        <f>ABS((Table1324[[#This Row],[ETA Planificado]]-Table1324[[#This Row],[ETA Inicial]])*24)</f>
        <v>9.9999999999417923</v>
      </c>
      <c r="AX8" s="7">
        <f>ABS((Table1324[[#This Row],[ETA Real]]-Table1324[[#This Row],[ETA Planificado]])*24)</f>
        <v>0</v>
      </c>
      <c r="AY8" s="7">
        <f>ABS((Table1324[[#This Row],[ETA Real]]-Table1324[[#This Row],[ETA Inicial]])*24)</f>
        <v>9.9999999999417923</v>
      </c>
      <c r="AZ8" s="7">
        <f>(Table1324[[#This Row],[Último ETD]]-Table1324[[#This Row],[ETA Real]])*24</f>
        <v>46.000000000116415</v>
      </c>
    </row>
    <row r="9" spans="1:52" x14ac:dyDescent="0.3">
      <c r="A9" s="1" t="s">
        <v>57</v>
      </c>
      <c r="B9" s="1" t="s">
        <v>55</v>
      </c>
      <c r="C9" s="1">
        <v>9234331</v>
      </c>
      <c r="D9" s="1" t="s">
        <v>38</v>
      </c>
      <c r="E9" s="1">
        <v>800</v>
      </c>
      <c r="F9" s="1">
        <v>500</v>
      </c>
      <c r="G9" s="1">
        <f>Table1324[[#This Row],[Contenedores Embarque]]+Table1324[[#This Row],[Contenedores Desembarque]]</f>
        <v>1300</v>
      </c>
      <c r="H9" s="1" t="str" cm="1">
        <f t="array" ref="H9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9" s="2">
        <v>45624</v>
      </c>
      <c r="J9" s="2">
        <v>45626</v>
      </c>
      <c r="K9" s="7">
        <f>DATEDIF(Table1324[[#This Row],[Creación Solicitud]], Table1324[[#This Row],[Aprobación solicitud?]], "d")</f>
        <v>2</v>
      </c>
      <c r="L9" s="3">
        <v>45633.833333333336</v>
      </c>
      <c r="M9" s="3">
        <v>45634.25</v>
      </c>
      <c r="N9" s="2">
        <v>45633</v>
      </c>
      <c r="O9" s="3">
        <v>45634.227777777778</v>
      </c>
      <c r="P9" s="2">
        <v>45634</v>
      </c>
      <c r="W9" s="3">
        <v>45634.229166666664</v>
      </c>
      <c r="X9" s="3">
        <v>45635.583333333336</v>
      </c>
      <c r="Y9" s="2">
        <v>45633</v>
      </c>
      <c r="Z9" s="3">
        <v>45634.270833333336</v>
      </c>
      <c r="AA9" s="3">
        <v>45635.583333333336</v>
      </c>
      <c r="AB9" s="2">
        <v>45634</v>
      </c>
      <c r="AC9" s="3">
        <v>45634.270833333336</v>
      </c>
      <c r="AD9" s="3">
        <v>45635.5</v>
      </c>
      <c r="AE9" s="2">
        <v>45635</v>
      </c>
      <c r="AL9" s="3">
        <f>Table1324[[#This Row],[Inicio atención nave 1]]</f>
        <v>45634.229166666664</v>
      </c>
      <c r="AM9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45634.270833333336</v>
      </c>
      <c r="AN9" s="3" t="s">
        <v>58</v>
      </c>
      <c r="AO9" s="3">
        <v>45653.995138888888</v>
      </c>
      <c r="AP9" s="3">
        <v>45634.25277777778</v>
      </c>
      <c r="AQ9" s="11">
        <f>(Table1324[[#This Row],[ETA Inicial]]-Table1324[[#This Row],[ATA]])*24</f>
        <v>-10.066666666651145</v>
      </c>
      <c r="AR9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0.6000000000349246</v>
      </c>
      <c r="AS9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-2.0000000000582077</v>
      </c>
      <c r="AT9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45635.5</v>
      </c>
      <c r="AU9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9" s="7">
        <f>COUNTA(Table1324[[#This Row],[Inicio atención nave 2]], Table1324[[#This Row],[Inicio atención nave 3]], Table1324[[#This Row],[Inicio atención nave 4]], Table1324[[#This Row],[Inicio atención nave 5]])</f>
        <v>2</v>
      </c>
      <c r="AW9" s="7">
        <f>ABS((Table1324[[#This Row],[ETA Planificado]]-Table1324[[#This Row],[ETA Inicial]])*24)</f>
        <v>9.4999999998835847</v>
      </c>
      <c r="AX9" s="7">
        <f>ABS((Table1324[[#This Row],[ETA Real]]-Table1324[[#This Row],[ETA Planificado]])*24)</f>
        <v>1.0000000001164153</v>
      </c>
      <c r="AY9" s="7">
        <f>ABS((Table1324[[#This Row],[ETA Real]]-Table1324[[#This Row],[ETA Inicial]])*24)</f>
        <v>10.5</v>
      </c>
      <c r="AZ9" s="7">
        <f>(Table1324[[#This Row],[Último ETD]]-Table1324[[#This Row],[ETA Real]])*24</f>
        <v>29.499999999941792</v>
      </c>
    </row>
    <row r="10" spans="1:52" x14ac:dyDescent="0.3">
      <c r="A10" s="1" t="s">
        <v>59</v>
      </c>
      <c r="B10" s="1" t="s">
        <v>60</v>
      </c>
      <c r="C10" s="1">
        <v>9403229</v>
      </c>
      <c r="D10" s="1" t="s">
        <v>45</v>
      </c>
      <c r="E10" s="1">
        <v>800</v>
      </c>
      <c r="F10" s="1">
        <v>500</v>
      </c>
      <c r="G10" s="1">
        <f>Table1324[[#This Row],[Contenedores Embarque]]+Table1324[[#This Row],[Contenedores Desembarque]]</f>
        <v>1300</v>
      </c>
      <c r="H10" s="1" t="str" cm="1">
        <f t="array" ref="H10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10" s="2">
        <v>45616</v>
      </c>
      <c r="J10" s="2">
        <v>45628</v>
      </c>
      <c r="K10" s="7">
        <f>DATEDIF(Table1324[[#This Row],[Creación Solicitud]], Table1324[[#This Row],[Aprobación solicitud?]], "d")</f>
        <v>12</v>
      </c>
      <c r="L10" s="3">
        <v>45635.25</v>
      </c>
      <c r="W10" s="3">
        <v>45635.208333333336</v>
      </c>
      <c r="X10" s="3">
        <v>45636.541666666664</v>
      </c>
      <c r="Y10" s="2">
        <v>45631</v>
      </c>
      <c r="Z10" s="3">
        <v>45635.25</v>
      </c>
      <c r="AA10" s="3">
        <v>45637.166666666664</v>
      </c>
      <c r="AB10" s="2">
        <v>45633</v>
      </c>
      <c r="AC10" s="3">
        <v>45635.28125</v>
      </c>
      <c r="AD10" s="3">
        <v>45637.166666666664</v>
      </c>
      <c r="AE10" s="2">
        <v>45635</v>
      </c>
      <c r="AL10" s="3">
        <f>Table1324[[#This Row],[Inicio atención nave 1]]</f>
        <v>45635.208333333336</v>
      </c>
      <c r="AM10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45635.28125</v>
      </c>
      <c r="AN10" s="3" t="s">
        <v>39</v>
      </c>
      <c r="AO10" s="3">
        <v>45630.715277777781</v>
      </c>
      <c r="AP10" s="3">
        <v>45635.26666666667</v>
      </c>
      <c r="AQ10" s="11">
        <f>(Table1324[[#This Row],[ETA Inicial]]-Table1324[[#This Row],[ATA]])*24</f>
        <v>-0.40000000008149073</v>
      </c>
      <c r="AR10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0.40000000008149073</v>
      </c>
      <c r="AS10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15</v>
      </c>
      <c r="AT10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45637.166666666664</v>
      </c>
      <c r="AU10" s="7">
        <f>COUNTA(Table1324[[#This Row],[ETA Modificado]], Table1324[[#This Row],[ETA Modificado 2]], Table1324[[#This Row],[ETA Modificado 3]], Table1324[[#This Row],[ETA Modificado 4]], Table1324[[#This Row],[ETA Modificado 5]])</f>
        <v>0</v>
      </c>
      <c r="AV10" s="7">
        <f>COUNTA(Table1324[[#This Row],[Inicio atención nave 2]], Table1324[[#This Row],[Inicio atención nave 3]], Table1324[[#This Row],[Inicio atención nave 4]], Table1324[[#This Row],[Inicio atención nave 5]])</f>
        <v>2</v>
      </c>
      <c r="AW10" s="7">
        <f>ABS((Table1324[[#This Row],[ETA Planificado]]-Table1324[[#This Row],[ETA Inicial]])*24)</f>
        <v>0.99999999994179234</v>
      </c>
      <c r="AX10" s="7">
        <f>ABS((Table1324[[#This Row],[ETA Real]]-Table1324[[#This Row],[ETA Planificado]])*24)</f>
        <v>1.7499999999417923</v>
      </c>
      <c r="AY10" s="7">
        <f>ABS((Table1324[[#This Row],[ETA Real]]-Table1324[[#This Row],[ETA Inicial]])*24)</f>
        <v>0.75</v>
      </c>
      <c r="AZ10" s="7">
        <f>(Table1324[[#This Row],[Último ETD]]-Table1324[[#This Row],[ETA Real]])*24</f>
        <v>45.249999999941792</v>
      </c>
    </row>
    <row r="11" spans="1:52" x14ac:dyDescent="0.3">
      <c r="A11" s="1" t="s">
        <v>61</v>
      </c>
      <c r="B11" s="1" t="s">
        <v>41</v>
      </c>
      <c r="C11" s="1">
        <v>9699191</v>
      </c>
      <c r="D11" s="1" t="s">
        <v>38</v>
      </c>
      <c r="E11" s="1">
        <v>1500</v>
      </c>
      <c r="F11" s="1">
        <v>1100</v>
      </c>
      <c r="G11" s="1">
        <f>Table1324[[#This Row],[Contenedores Embarque]]+Table1324[[#This Row],[Contenedores Desembarque]]</f>
        <v>2600</v>
      </c>
      <c r="H11" s="1" t="str" cm="1">
        <f t="array" ref="H11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11" s="2">
        <v>45621</v>
      </c>
      <c r="J11" s="2">
        <v>45628</v>
      </c>
      <c r="K11" s="7">
        <f>DATEDIF(Table1324[[#This Row],[Creación Solicitud]], Table1324[[#This Row],[Aprobación solicitud?]], "d")</f>
        <v>7</v>
      </c>
      <c r="L11" s="3">
        <v>45635.5</v>
      </c>
      <c r="M11" s="3">
        <v>45635.572916666664</v>
      </c>
      <c r="N11" s="2">
        <v>45636</v>
      </c>
      <c r="W11" s="3">
        <v>45635.625</v>
      </c>
      <c r="X11" s="3">
        <v>45637.875</v>
      </c>
      <c r="Y11" s="2">
        <v>45633</v>
      </c>
      <c r="Z11" s="3">
        <v>45635.541666666664</v>
      </c>
      <c r="AA11" s="3">
        <v>45637.875</v>
      </c>
      <c r="AB11" s="2">
        <v>45635</v>
      </c>
      <c r="AC11" s="3">
        <v>45635.541666666664</v>
      </c>
      <c r="AD11" s="3">
        <v>45637.854166666664</v>
      </c>
      <c r="AE11" s="2">
        <v>45637</v>
      </c>
      <c r="AF11" s="3">
        <v>45635.541666666664</v>
      </c>
      <c r="AG11" s="3">
        <v>45637.8125</v>
      </c>
      <c r="AH11" s="2">
        <v>45637</v>
      </c>
      <c r="AL11" s="3">
        <f>Table1324[[#This Row],[Inicio atención nave 1]]</f>
        <v>45635.625</v>
      </c>
      <c r="AM11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45635.541666666664</v>
      </c>
      <c r="AN11" s="3" t="s">
        <v>42</v>
      </c>
      <c r="AO11" s="3">
        <v>45633.300694444442</v>
      </c>
      <c r="AP11" s="3">
        <v>45635.586111111108</v>
      </c>
      <c r="AQ11" s="11">
        <f>(Table1324[[#This Row],[ETA Inicial]]-Table1324[[#This Row],[ATA]])*24</f>
        <v>-2.066666666592937</v>
      </c>
      <c r="AR11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0.31666666665114462</v>
      </c>
      <c r="AS11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-1.5</v>
      </c>
      <c r="AT11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45637.8125</v>
      </c>
      <c r="AU11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11" s="7">
        <f>COUNTA(Table1324[[#This Row],[Inicio atención nave 2]], Table1324[[#This Row],[Inicio atención nave 3]], Table1324[[#This Row],[Inicio atención nave 4]], Table1324[[#This Row],[Inicio atención nave 5]])</f>
        <v>3</v>
      </c>
      <c r="AW11" s="7">
        <f>ABS((Table1324[[#This Row],[ETA Planificado]]-Table1324[[#This Row],[ETA Inicial]])*24)</f>
        <v>3</v>
      </c>
      <c r="AX11" s="7">
        <f>ABS((Table1324[[#This Row],[ETA Real]]-Table1324[[#This Row],[ETA Planificado]])*24)</f>
        <v>2.0000000000582077</v>
      </c>
      <c r="AY11" s="7">
        <f>ABS((Table1324[[#This Row],[ETA Real]]-Table1324[[#This Row],[ETA Inicial]])*24)</f>
        <v>0.99999999994179234</v>
      </c>
      <c r="AZ11" s="7">
        <f>(Table1324[[#This Row],[Último ETD]]-Table1324[[#This Row],[ETA Real]])*24</f>
        <v>54.500000000058208</v>
      </c>
    </row>
    <row r="12" spans="1:52" x14ac:dyDescent="0.3">
      <c r="A12" s="1" t="s">
        <v>62</v>
      </c>
      <c r="B12" s="1" t="s">
        <v>55</v>
      </c>
      <c r="C12" s="1">
        <v>9355551</v>
      </c>
      <c r="D12" s="1" t="s">
        <v>38</v>
      </c>
      <c r="E12" s="1">
        <v>800</v>
      </c>
      <c r="F12" s="1">
        <v>1200</v>
      </c>
      <c r="G12" s="1">
        <f>Table1324[[#This Row],[Contenedores Embarque]]+Table1324[[#This Row],[Contenedores Desembarque]]</f>
        <v>2000</v>
      </c>
      <c r="H12" s="1" t="str" cm="1">
        <f t="array" ref="H12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C</v>
      </c>
      <c r="I12" s="2">
        <v>45628</v>
      </c>
      <c r="J12" s="2">
        <v>45629</v>
      </c>
      <c r="K12" s="7">
        <f>DATEDIF(Table1324[[#This Row],[Creación Solicitud]], Table1324[[#This Row],[Aprobación solicitud?]], "d")</f>
        <v>1</v>
      </c>
      <c r="L12" s="3">
        <v>45635.375</v>
      </c>
      <c r="M12" s="3">
        <v>45635.291666666664</v>
      </c>
      <c r="N12" s="2">
        <v>45633</v>
      </c>
      <c r="O12" s="3">
        <v>45635.708333333336</v>
      </c>
      <c r="P12" s="2">
        <v>45634</v>
      </c>
      <c r="Q12" s="3">
        <v>45635.8125</v>
      </c>
      <c r="R12" s="2">
        <v>45636</v>
      </c>
      <c r="W12" s="3">
        <v>45635.708333333336</v>
      </c>
      <c r="X12" s="3">
        <v>45638.208333333336</v>
      </c>
      <c r="Y12" s="2">
        <v>45633</v>
      </c>
      <c r="Z12" s="3">
        <v>45635.875</v>
      </c>
      <c r="AA12" s="3">
        <v>45638.208333333336</v>
      </c>
      <c r="AB12" s="2">
        <v>45635</v>
      </c>
      <c r="AC12" s="3">
        <v>45635.875</v>
      </c>
      <c r="AD12" s="3">
        <v>45638.833333333336</v>
      </c>
      <c r="AE12" s="2">
        <v>45636</v>
      </c>
      <c r="AF12" s="3">
        <v>45635.875</v>
      </c>
      <c r="AG12" s="3">
        <v>45638.020833333336</v>
      </c>
      <c r="AH12" s="2">
        <v>45637</v>
      </c>
      <c r="AI12" s="3">
        <v>45635.875</v>
      </c>
      <c r="AJ12" s="3">
        <v>45637.999305555553</v>
      </c>
      <c r="AK12" s="2">
        <v>45637</v>
      </c>
      <c r="AL12" s="3">
        <f>Table1324[[#This Row],[Inicio atención nave 1]]</f>
        <v>45635.708333333336</v>
      </c>
      <c r="AM12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45635.875</v>
      </c>
      <c r="AN12" s="3" t="s">
        <v>39</v>
      </c>
      <c r="AO12" s="3">
        <v>45631.970833333333</v>
      </c>
      <c r="AP12" s="3">
        <v>45635.973611111112</v>
      </c>
      <c r="AQ12" s="11">
        <f>(Table1324[[#This Row],[ETA Inicial]]-Table1324[[#This Row],[ATA]])*24</f>
        <v>-14.366666666697711</v>
      </c>
      <c r="AR12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3.8666666666977108</v>
      </c>
      <c r="AS12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-5.0166666667792015</v>
      </c>
      <c r="AT12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45637.999305555553</v>
      </c>
      <c r="AU12" s="7">
        <f>COUNTA(Table1324[[#This Row],[ETA Modificado]], Table1324[[#This Row],[ETA Modificado 2]], Table1324[[#This Row],[ETA Modificado 3]], Table1324[[#This Row],[ETA Modificado 4]], Table1324[[#This Row],[ETA Modificado 5]])</f>
        <v>3</v>
      </c>
      <c r="AV12" s="7">
        <f>COUNTA(Table1324[[#This Row],[Inicio atención nave 2]], Table1324[[#This Row],[Inicio atención nave 3]], Table1324[[#This Row],[Inicio atención nave 4]], Table1324[[#This Row],[Inicio atención nave 5]])</f>
        <v>4</v>
      </c>
      <c r="AW12" s="7">
        <f>ABS((Table1324[[#This Row],[ETA Planificado]]-Table1324[[#This Row],[ETA Inicial]])*24)</f>
        <v>8.0000000000582077</v>
      </c>
      <c r="AX12" s="7">
        <f>ABS((Table1324[[#This Row],[ETA Real]]-Table1324[[#This Row],[ETA Planificado]])*24)</f>
        <v>3.9999999999417923</v>
      </c>
      <c r="AY12" s="7">
        <f>ABS((Table1324[[#This Row],[ETA Real]]-Table1324[[#This Row],[ETA Inicial]])*24)</f>
        <v>12</v>
      </c>
      <c r="AZ12" s="7">
        <f>(Table1324[[#This Row],[Último ETD]]-Table1324[[#This Row],[ETA Real]])*24</f>
        <v>50.983333333279006</v>
      </c>
    </row>
    <row r="13" spans="1:52" x14ac:dyDescent="0.3">
      <c r="A13" s="1" t="s">
        <v>63</v>
      </c>
      <c r="B13" s="1" t="s">
        <v>41</v>
      </c>
      <c r="C13" s="1">
        <v>9797204</v>
      </c>
      <c r="D13" s="1" t="s">
        <v>45</v>
      </c>
      <c r="E13" s="1">
        <v>400</v>
      </c>
      <c r="F13" s="1">
        <v>350</v>
      </c>
      <c r="G13" s="1">
        <f>Table1324[[#This Row],[Contenedores Embarque]]+Table1324[[#This Row],[Contenedores Desembarque]]</f>
        <v>750</v>
      </c>
      <c r="H13" s="1" t="str" cm="1">
        <f t="array" ref="H13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13" s="2">
        <v>45621</v>
      </c>
      <c r="J13" s="2">
        <v>45629</v>
      </c>
      <c r="K13" s="7">
        <f>DATEDIF(Table1324[[#This Row],[Creación Solicitud]], Table1324[[#This Row],[Aprobación solicitud?]], "d")</f>
        <v>8</v>
      </c>
      <c r="L13" s="3">
        <v>45636.5</v>
      </c>
      <c r="M13" s="3">
        <v>45636.333333333336</v>
      </c>
      <c r="N13" s="2">
        <v>45634</v>
      </c>
      <c r="W13" s="3">
        <v>45637.291666666664</v>
      </c>
      <c r="X13" s="3">
        <v>45638.25</v>
      </c>
      <c r="Y13" s="2">
        <v>45634</v>
      </c>
      <c r="Z13" s="3">
        <v>45637.208333333336</v>
      </c>
      <c r="AA13" s="3">
        <v>45638.166666666664</v>
      </c>
      <c r="AB13" s="2">
        <v>45636</v>
      </c>
      <c r="AC13" s="3">
        <v>45637.291666666664</v>
      </c>
      <c r="AD13" s="3">
        <v>45638.166666666664</v>
      </c>
      <c r="AE13" s="2">
        <v>45637</v>
      </c>
      <c r="AF13" s="3">
        <v>45637.291666666664</v>
      </c>
      <c r="AG13" s="3">
        <v>45638.104166666664</v>
      </c>
      <c r="AH13" s="2">
        <v>45637</v>
      </c>
      <c r="AI13" s="3">
        <v>45637.32916666667</v>
      </c>
      <c r="AJ13" s="3">
        <v>45638.083333333336</v>
      </c>
      <c r="AK13" s="2">
        <v>45637</v>
      </c>
      <c r="AL13" s="3">
        <f>Table1324[[#This Row],[Inicio atención nave 1]]</f>
        <v>45637.291666666664</v>
      </c>
      <c r="AM13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45637.32916666667</v>
      </c>
      <c r="AN13" s="3" t="s">
        <v>64</v>
      </c>
      <c r="AO13" s="3">
        <v>45632.927777777775</v>
      </c>
      <c r="AP13" s="3">
        <v>45636.488888888889</v>
      </c>
      <c r="AQ13" s="11">
        <f>(Table1324[[#This Row],[ETA Inicial]]-Table1324[[#This Row],[ATA]])*24</f>
        <v>0.26666666666278616</v>
      </c>
      <c r="AR13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3.7333333332790062</v>
      </c>
      <c r="AS13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-3.9999999999417923</v>
      </c>
      <c r="AT13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45638.083333333336</v>
      </c>
      <c r="AU13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13" s="7">
        <f>COUNTA(Table1324[[#This Row],[Inicio atención nave 2]], Table1324[[#This Row],[Inicio atención nave 3]], Table1324[[#This Row],[Inicio atención nave 4]], Table1324[[#This Row],[Inicio atención nave 5]])</f>
        <v>4</v>
      </c>
      <c r="AW13" s="7">
        <f>ABS((Table1324[[#This Row],[ETA Planificado]]-Table1324[[#This Row],[ETA Inicial]])*24)</f>
        <v>18.999999999941792</v>
      </c>
      <c r="AX13" s="7">
        <f>ABS((Table1324[[#This Row],[ETA Real]]-Table1324[[#This Row],[ETA Planificado]])*24)</f>
        <v>0.90000000013969839</v>
      </c>
      <c r="AY13" s="7">
        <f>ABS((Table1324[[#This Row],[ETA Real]]-Table1324[[#This Row],[ETA Inicial]])*24)</f>
        <v>19.900000000081491</v>
      </c>
      <c r="AZ13" s="7">
        <f>(Table1324[[#This Row],[Último ETD]]-Table1324[[#This Row],[ETA Real]])*24</f>
        <v>18.099999999976717</v>
      </c>
    </row>
    <row r="14" spans="1:52" x14ac:dyDescent="0.3">
      <c r="A14" s="1" t="s">
        <v>65</v>
      </c>
      <c r="B14" s="1" t="s">
        <v>66</v>
      </c>
      <c r="C14" s="1">
        <v>9232981</v>
      </c>
      <c r="D14" s="1" t="s">
        <v>38</v>
      </c>
      <c r="E14" s="1">
        <v>120</v>
      </c>
      <c r="F14" s="1">
        <v>150</v>
      </c>
      <c r="G14" s="1">
        <f>Table1324[[#This Row],[Contenedores Embarque]]+Table1324[[#This Row],[Contenedores Desembarque]]</f>
        <v>270</v>
      </c>
      <c r="H14" s="1" t="str" cm="1">
        <f t="array" ref="H14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A</v>
      </c>
      <c r="I14" s="2">
        <v>45629</v>
      </c>
      <c r="J14" s="2">
        <v>45629</v>
      </c>
      <c r="K14" s="7">
        <f>DATEDIF(Table1324[[#This Row],[Creación Solicitud]], Table1324[[#This Row],[Aprobación solicitud?]], "d")</f>
        <v>0</v>
      </c>
      <c r="L14" s="3">
        <v>45636.583333333336</v>
      </c>
      <c r="M14" s="3">
        <v>45636.875</v>
      </c>
      <c r="N14" s="2">
        <v>45636</v>
      </c>
      <c r="W14" s="3">
        <v>45637.999305555553</v>
      </c>
      <c r="X14" s="3">
        <v>45638.666666666664</v>
      </c>
      <c r="Y14" s="2">
        <v>45635</v>
      </c>
      <c r="Z14" s="3">
        <v>45637.916666666664</v>
      </c>
      <c r="AA14" s="3">
        <v>45638.666666666664</v>
      </c>
      <c r="AB14" s="2">
        <v>45636</v>
      </c>
      <c r="AC14" s="3">
        <v>45637.895833333336</v>
      </c>
      <c r="AD14" s="3">
        <v>45638.666666666664</v>
      </c>
      <c r="AE14" s="2">
        <v>45637</v>
      </c>
      <c r="AF14" s="3">
        <v>45637.854166666664</v>
      </c>
      <c r="AG14" s="3">
        <v>45638.666666666664</v>
      </c>
      <c r="AH14" s="2">
        <v>45637</v>
      </c>
      <c r="AL14" s="3">
        <f>Table1324[[#This Row],[Inicio atención nave 1]]</f>
        <v>45637.999305555553</v>
      </c>
      <c r="AM14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45637.854166666664</v>
      </c>
      <c r="AN14" s="3" t="s">
        <v>67</v>
      </c>
      <c r="AO14" s="3">
        <v>45636.258333333331</v>
      </c>
      <c r="AP14" s="3">
        <v>45636.897222222222</v>
      </c>
      <c r="AQ14" s="11">
        <f>(Table1324[[#This Row],[ETA Inicial]]-Table1324[[#This Row],[ATA]])*24</f>
        <v>-7.5333333332673647</v>
      </c>
      <c r="AR14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0.53333333332557231</v>
      </c>
      <c r="AS14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14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45638.666666666664</v>
      </c>
      <c r="AU14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14" s="7">
        <f>COUNTA(Table1324[[#This Row],[Inicio atención nave 2]], Table1324[[#This Row],[Inicio atención nave 3]], Table1324[[#This Row],[Inicio atención nave 4]], Table1324[[#This Row],[Inicio atención nave 5]])</f>
        <v>3</v>
      </c>
      <c r="AW14" s="7">
        <f>ABS((Table1324[[#This Row],[ETA Planificado]]-Table1324[[#This Row],[ETA Inicial]])*24)</f>
        <v>33.983333333220799</v>
      </c>
      <c r="AX14" s="7">
        <f>ABS((Table1324[[#This Row],[ETA Real]]-Table1324[[#This Row],[ETA Planificado]])*24)</f>
        <v>3.4833333333372138</v>
      </c>
      <c r="AY14" s="7">
        <f>ABS((Table1324[[#This Row],[ETA Real]]-Table1324[[#This Row],[ETA Inicial]])*24)</f>
        <v>30.499999999883585</v>
      </c>
      <c r="AZ14" s="7">
        <f>(Table1324[[#This Row],[Último ETD]]-Table1324[[#This Row],[ETA Real]])*24</f>
        <v>19.5</v>
      </c>
    </row>
    <row r="15" spans="1:52" x14ac:dyDescent="0.3">
      <c r="A15" s="1" t="s">
        <v>68</v>
      </c>
      <c r="B15" s="1" t="s">
        <v>49</v>
      </c>
      <c r="C15" s="1">
        <v>9777606</v>
      </c>
      <c r="D15" s="1" t="s">
        <v>45</v>
      </c>
      <c r="E15" s="1">
        <v>1500</v>
      </c>
      <c r="F15" s="1">
        <v>2000</v>
      </c>
      <c r="G15" s="1">
        <f>Table1324[[#This Row],[Contenedores Embarque]]+Table1324[[#This Row],[Contenedores Desembarque]]</f>
        <v>3500</v>
      </c>
      <c r="H15" s="1" t="str" cm="1">
        <f t="array" ref="H15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15" s="2">
        <v>45629</v>
      </c>
      <c r="J15" s="2">
        <v>45629</v>
      </c>
      <c r="K15" s="7">
        <f>DATEDIF(Table1324[[#This Row],[Creación Solicitud]], Table1324[[#This Row],[Aprobación solicitud?]], "d")</f>
        <v>0</v>
      </c>
      <c r="L15" s="3">
        <v>45636.875</v>
      </c>
      <c r="M15" s="3">
        <v>45637.25</v>
      </c>
      <c r="N15" s="2">
        <v>45636</v>
      </c>
      <c r="O15" s="3">
        <v>45637.375</v>
      </c>
      <c r="P15" s="2">
        <v>45636</v>
      </c>
      <c r="W15" s="3">
        <v>45637.25</v>
      </c>
      <c r="X15" s="3">
        <v>45639.999305555553</v>
      </c>
      <c r="Y15" s="2">
        <v>45635</v>
      </c>
      <c r="Z15" s="3">
        <v>45637.291666666664</v>
      </c>
      <c r="AA15" s="3">
        <v>45639.999305555553</v>
      </c>
      <c r="AB15" s="2">
        <v>45636</v>
      </c>
      <c r="AC15" s="3">
        <v>45637.375</v>
      </c>
      <c r="AD15" s="3">
        <v>45639.999305555553</v>
      </c>
      <c r="AE15" s="2">
        <v>45637</v>
      </c>
      <c r="AL15" s="3">
        <f>Table1324[[#This Row],[Inicio atención nave 1]]</f>
        <v>45637.25</v>
      </c>
      <c r="AM15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45637.375</v>
      </c>
      <c r="AN15" s="3" t="s">
        <v>39</v>
      </c>
      <c r="AO15" s="3">
        <v>45632.654861111114</v>
      </c>
      <c r="AP15" s="3">
        <v>45637.404861111114</v>
      </c>
      <c r="AQ15" s="11">
        <f>(Table1324[[#This Row],[ETA Inicial]]-Table1324[[#This Row],[ATA]])*24</f>
        <v>-12.716666666732635</v>
      </c>
      <c r="AR15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0.71666666673263535</v>
      </c>
      <c r="AS15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15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45639.999305555553</v>
      </c>
      <c r="AU15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15" s="7">
        <f>COUNTA(Table1324[[#This Row],[Inicio atención nave 2]], Table1324[[#This Row],[Inicio atención nave 3]], Table1324[[#This Row],[Inicio atención nave 4]], Table1324[[#This Row],[Inicio atención nave 5]])</f>
        <v>2</v>
      </c>
      <c r="AW15" s="7">
        <f>ABS((Table1324[[#This Row],[ETA Planificado]]-Table1324[[#This Row],[ETA Inicial]])*24)</f>
        <v>9</v>
      </c>
      <c r="AX15" s="7">
        <f>ABS((Table1324[[#This Row],[ETA Real]]-Table1324[[#This Row],[ETA Planificado]])*24)</f>
        <v>3</v>
      </c>
      <c r="AY15" s="7">
        <f>ABS((Table1324[[#This Row],[ETA Real]]-Table1324[[#This Row],[ETA Inicial]])*24)</f>
        <v>12</v>
      </c>
      <c r="AZ15" s="7">
        <f>(Table1324[[#This Row],[Último ETD]]-Table1324[[#This Row],[ETA Real]])*24</f>
        <v>62.983333333279006</v>
      </c>
    </row>
    <row r="16" spans="1:52" x14ac:dyDescent="0.3">
      <c r="A16" s="1" t="s">
        <v>69</v>
      </c>
      <c r="B16" s="1" t="s">
        <v>70</v>
      </c>
      <c r="C16" s="1">
        <v>9857444</v>
      </c>
      <c r="D16" s="1" t="s">
        <v>45</v>
      </c>
      <c r="E16" s="1">
        <v>1000</v>
      </c>
      <c r="F16" s="1">
        <v>1000</v>
      </c>
      <c r="G16" s="1">
        <f>Table1324[[#This Row],[Contenedores Embarque]]+Table1324[[#This Row],[Contenedores Desembarque]]</f>
        <v>2000</v>
      </c>
      <c r="H16" s="1" t="str" cm="1">
        <f t="array" ref="H16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C</v>
      </c>
      <c r="I16" s="2">
        <v>45635</v>
      </c>
      <c r="J16" s="2">
        <v>45635</v>
      </c>
      <c r="K16" s="7">
        <f>DATEDIF(Table1324[[#This Row],[Creación Solicitud]], Table1324[[#This Row],[Aprobación solicitud?]], "d")</f>
        <v>0</v>
      </c>
      <c r="L16" s="3">
        <v>45638.541666666664</v>
      </c>
      <c r="M16" s="3">
        <v>45638.458333333336</v>
      </c>
      <c r="N16" s="2">
        <v>45638</v>
      </c>
      <c r="W16" s="3">
        <v>45638.458333333336</v>
      </c>
      <c r="X16" s="3">
        <v>45639.958333333336</v>
      </c>
      <c r="Y16" s="2">
        <v>45635</v>
      </c>
      <c r="Z16" s="3">
        <v>45638.5</v>
      </c>
      <c r="AA16" s="3">
        <v>45639.958333333336</v>
      </c>
      <c r="AB16" s="2">
        <v>45638</v>
      </c>
      <c r="AC16" s="3">
        <v>45638.5</v>
      </c>
      <c r="AD16" s="3">
        <v>45639.916666666664</v>
      </c>
      <c r="AE16" s="2">
        <v>45638</v>
      </c>
      <c r="AF16" s="3">
        <v>45638.5</v>
      </c>
      <c r="AG16" s="3">
        <v>45640.166666666664</v>
      </c>
      <c r="AH16" s="2">
        <v>45639</v>
      </c>
      <c r="AL16" s="3">
        <f>Table1324[[#This Row],[Inicio atención nave 1]]</f>
        <v>45638.458333333336</v>
      </c>
      <c r="AM16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45638.5</v>
      </c>
      <c r="AN16" s="3" t="s">
        <v>71</v>
      </c>
      <c r="AO16" s="3">
        <v>45632.838194444441</v>
      </c>
      <c r="AP16" s="3">
        <v>45638.504861111112</v>
      </c>
      <c r="AQ16" s="11">
        <f>(Table1324[[#This Row],[ETA Inicial]]-Table1324[[#This Row],[ATA]])*24</f>
        <v>0.88333333324408159</v>
      </c>
      <c r="AR16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1.1166666666395031</v>
      </c>
      <c r="AS16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4.9999999998835847</v>
      </c>
      <c r="AT16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45640.166666666664</v>
      </c>
      <c r="AU16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16" s="7">
        <f>COUNTA(Table1324[[#This Row],[Inicio atención nave 2]], Table1324[[#This Row],[Inicio atención nave 3]], Table1324[[#This Row],[Inicio atención nave 4]], Table1324[[#This Row],[Inicio atención nave 5]])</f>
        <v>3</v>
      </c>
      <c r="AW16" s="7">
        <f>ABS((Table1324[[#This Row],[ETA Planificado]]-Table1324[[#This Row],[ETA Inicial]])*24)</f>
        <v>1.9999999998835847</v>
      </c>
      <c r="AX16" s="7">
        <f>ABS((Table1324[[#This Row],[ETA Real]]-Table1324[[#This Row],[ETA Planificado]])*24)</f>
        <v>0.99999999994179234</v>
      </c>
      <c r="AY16" s="7">
        <f>ABS((Table1324[[#This Row],[ETA Real]]-Table1324[[#This Row],[ETA Inicial]])*24)</f>
        <v>0.99999999994179234</v>
      </c>
      <c r="AZ16" s="7">
        <f>(Table1324[[#This Row],[Último ETD]]-Table1324[[#This Row],[ETA Real]])*24</f>
        <v>39.999999999941792</v>
      </c>
    </row>
    <row r="17" spans="1:52" x14ac:dyDescent="0.3">
      <c r="A17" s="1" t="s">
        <v>72</v>
      </c>
      <c r="B17" s="1" t="s">
        <v>73</v>
      </c>
      <c r="C17" s="1">
        <v>9713349</v>
      </c>
      <c r="D17" s="1" t="s">
        <v>38</v>
      </c>
      <c r="E17" s="1">
        <v>2500</v>
      </c>
      <c r="F17" s="1">
        <v>1800</v>
      </c>
      <c r="G17" s="1">
        <f>Table1324[[#This Row],[Contenedores Embarque]]+Table1324[[#This Row],[Contenedores Desembarque]]</f>
        <v>4300</v>
      </c>
      <c r="H17" s="1" t="str" cm="1">
        <f t="array" ref="H17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E</v>
      </c>
      <c r="I17" s="2">
        <v>45616</v>
      </c>
      <c r="J17" s="2">
        <v>45631</v>
      </c>
      <c r="K17" s="7">
        <f>DATEDIF(Table1324[[#This Row],[Creación Solicitud]], Table1324[[#This Row],[Aprobación solicitud?]], "d")</f>
        <v>15</v>
      </c>
      <c r="L17" s="3">
        <v>45638.5</v>
      </c>
      <c r="M17" s="3">
        <v>45638.25</v>
      </c>
      <c r="N17" s="2">
        <v>45635</v>
      </c>
      <c r="O17" s="3">
        <v>45638.1875</v>
      </c>
      <c r="P17" s="2">
        <v>45638</v>
      </c>
      <c r="W17" s="3">
        <v>45638.25</v>
      </c>
      <c r="X17" s="3">
        <v>45640.833333333336</v>
      </c>
      <c r="Y17" s="2">
        <v>45636</v>
      </c>
      <c r="Z17" s="3">
        <v>45638.25</v>
      </c>
      <c r="AA17" s="3">
        <v>45640.916666666664</v>
      </c>
      <c r="AB17" s="2">
        <v>45638</v>
      </c>
      <c r="AC17" s="3">
        <v>45638.25</v>
      </c>
      <c r="AD17" s="3">
        <v>45640.541666666664</v>
      </c>
      <c r="AE17" s="2">
        <v>45639</v>
      </c>
      <c r="AL17" s="3">
        <f>Table1324[[#This Row],[Inicio atención nave 1]]</f>
        <v>45638.25</v>
      </c>
      <c r="AM17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45638.25</v>
      </c>
      <c r="AN17" s="3" t="s">
        <v>39</v>
      </c>
      <c r="AO17" s="3">
        <v>45634.743055555555</v>
      </c>
      <c r="AP17" s="3">
        <v>45638.284722222219</v>
      </c>
      <c r="AQ17" s="11">
        <f>(Table1324[[#This Row],[ETA Inicial]]-Table1324[[#This Row],[ATA]])*24</f>
        <v>5.1666666667442769</v>
      </c>
      <c r="AR17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2.3333333332557231</v>
      </c>
      <c r="AS17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-7.0000000001164153</v>
      </c>
      <c r="AT17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45640.541666666664</v>
      </c>
      <c r="AU17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17" s="7">
        <f>COUNTA(Table1324[[#This Row],[Inicio atención nave 2]], Table1324[[#This Row],[Inicio atención nave 3]], Table1324[[#This Row],[Inicio atención nave 4]], Table1324[[#This Row],[Inicio atención nave 5]])</f>
        <v>2</v>
      </c>
      <c r="AW17" s="7">
        <f>ABS((Table1324[[#This Row],[ETA Planificado]]-Table1324[[#This Row],[ETA Inicial]])*24)</f>
        <v>6</v>
      </c>
      <c r="AX17" s="7">
        <f>ABS((Table1324[[#This Row],[ETA Real]]-Table1324[[#This Row],[ETA Planificado]])*24)</f>
        <v>0</v>
      </c>
      <c r="AY17" s="7">
        <f>ABS((Table1324[[#This Row],[ETA Real]]-Table1324[[#This Row],[ETA Inicial]])*24)</f>
        <v>6</v>
      </c>
      <c r="AZ17" s="7">
        <f>(Table1324[[#This Row],[Último ETD]]-Table1324[[#This Row],[ETA Real]])*24</f>
        <v>54.999999999941792</v>
      </c>
    </row>
    <row r="18" spans="1:52" x14ac:dyDescent="0.3">
      <c r="A18" s="1" t="s">
        <v>74</v>
      </c>
      <c r="B18" s="1" t="s">
        <v>41</v>
      </c>
      <c r="C18" s="1">
        <v>9928188</v>
      </c>
      <c r="D18" s="1" t="s">
        <v>38</v>
      </c>
      <c r="E18" s="1">
        <v>500</v>
      </c>
      <c r="F18" s="1">
        <v>450</v>
      </c>
      <c r="G18" s="1">
        <f>Table1324[[#This Row],[Contenedores Embarque]]+Table1324[[#This Row],[Contenedores Desembarque]]</f>
        <v>950</v>
      </c>
      <c r="H18" s="1" t="str" cm="1">
        <f t="array" ref="H18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18" s="2">
        <v>45620</v>
      </c>
      <c r="J18" s="2">
        <v>45632</v>
      </c>
      <c r="K18" s="7">
        <f>DATEDIF(Table1324[[#This Row],[Creación Solicitud]], Table1324[[#This Row],[Aprobación solicitud?]], "d")</f>
        <v>12</v>
      </c>
      <c r="L18" s="3">
        <v>45639.25</v>
      </c>
      <c r="M18" s="3">
        <v>45638.875</v>
      </c>
      <c r="N18" s="2">
        <v>45636</v>
      </c>
      <c r="O18" s="3">
        <v>45638.862500000003</v>
      </c>
      <c r="P18" s="2">
        <v>45638</v>
      </c>
      <c r="W18" s="3">
        <v>45638.875</v>
      </c>
      <c r="X18" s="3">
        <v>45640.166666666664</v>
      </c>
      <c r="Y18" s="2">
        <v>45636</v>
      </c>
      <c r="Z18" s="3">
        <v>45638.875</v>
      </c>
      <c r="AA18" s="3">
        <v>45640.25</v>
      </c>
      <c r="AB18" s="2">
        <v>45639</v>
      </c>
      <c r="AL18" s="3">
        <f>Table1324[[#This Row],[Inicio atención nave 1]]</f>
        <v>45638.875</v>
      </c>
      <c r="AM18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45638.875</v>
      </c>
      <c r="AN18" s="3" t="s">
        <v>75</v>
      </c>
      <c r="AO18" s="3">
        <v>45634.283333333333</v>
      </c>
      <c r="AP18" s="3">
        <v>45638.877083333333</v>
      </c>
      <c r="AQ18" s="11">
        <f>(Table1324[[#This Row],[ETA Inicial]]-Table1324[[#This Row],[ATA]])*24</f>
        <v>8.9500000000116415</v>
      </c>
      <c r="AR18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0.34999999991850927</v>
      </c>
      <c r="AS18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2.0000000000582077</v>
      </c>
      <c r="AT18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45640.25</v>
      </c>
      <c r="AU18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18" s="7">
        <f>COUNTA(Table1324[[#This Row],[Inicio atención nave 2]], Table1324[[#This Row],[Inicio atención nave 3]], Table1324[[#This Row],[Inicio atención nave 4]], Table1324[[#This Row],[Inicio atención nave 5]])</f>
        <v>1</v>
      </c>
      <c r="AW18" s="7">
        <f>ABS((Table1324[[#This Row],[ETA Planificado]]-Table1324[[#This Row],[ETA Inicial]])*24)</f>
        <v>9</v>
      </c>
      <c r="AX18" s="7">
        <f>ABS((Table1324[[#This Row],[ETA Real]]-Table1324[[#This Row],[ETA Planificado]])*24)</f>
        <v>0</v>
      </c>
      <c r="AY18" s="7">
        <f>ABS((Table1324[[#This Row],[ETA Real]]-Table1324[[#This Row],[ETA Inicial]])*24)</f>
        <v>9</v>
      </c>
      <c r="AZ18" s="7">
        <f>(Table1324[[#This Row],[Último ETD]]-Table1324[[#This Row],[ETA Real]])*24</f>
        <v>33</v>
      </c>
    </row>
    <row r="19" spans="1:52" x14ac:dyDescent="0.3">
      <c r="A19" s="1" t="s">
        <v>76</v>
      </c>
      <c r="B19" s="1" t="s">
        <v>49</v>
      </c>
      <c r="C19" s="1">
        <v>9193317</v>
      </c>
      <c r="D19" s="1" t="s">
        <v>38</v>
      </c>
      <c r="E19" s="1">
        <v>400</v>
      </c>
      <c r="F19" s="1">
        <v>600</v>
      </c>
      <c r="G19" s="1">
        <f>Table1324[[#This Row],[Contenedores Embarque]]+Table1324[[#This Row],[Contenedores Desembarque]]</f>
        <v>1000</v>
      </c>
      <c r="H19" s="1" t="str" cm="1">
        <f t="array" ref="H19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19" s="2">
        <v>45629</v>
      </c>
      <c r="J19" s="2">
        <v>45633</v>
      </c>
      <c r="K19" s="7">
        <f>DATEDIF(Table1324[[#This Row],[Creación Solicitud]], Table1324[[#This Row],[Aprobación solicitud?]], "d")</f>
        <v>4</v>
      </c>
      <c r="L19" s="3">
        <v>45640.166666666664</v>
      </c>
      <c r="M19" s="3">
        <v>45640.916666666664</v>
      </c>
      <c r="N19" s="2">
        <v>45636</v>
      </c>
      <c r="O19" s="3">
        <v>45641.333333333336</v>
      </c>
      <c r="P19" s="2">
        <v>45638</v>
      </c>
      <c r="Q19" s="3">
        <v>45641.291666666664</v>
      </c>
      <c r="R19" s="2">
        <v>45639</v>
      </c>
      <c r="S19" s="3">
        <v>45641.25</v>
      </c>
      <c r="T19" s="2">
        <v>45640</v>
      </c>
      <c r="W19" s="3">
        <v>45641.333333333336</v>
      </c>
      <c r="X19" s="3">
        <v>45642.625</v>
      </c>
      <c r="Y19" s="2">
        <v>45636</v>
      </c>
      <c r="Z19" s="3">
        <v>45641.291666666664</v>
      </c>
      <c r="AA19" s="3">
        <v>45642.583333333336</v>
      </c>
      <c r="AB19" s="2">
        <v>45639</v>
      </c>
      <c r="AC19" s="3">
        <v>45641.291666666664</v>
      </c>
      <c r="AD19" s="3">
        <v>45641.999305555553</v>
      </c>
      <c r="AE19" s="2">
        <v>45640</v>
      </c>
      <c r="AL19" s="3">
        <f>Table1324[[#This Row],[Inicio atención nave 1]]</f>
        <v>45641.333333333336</v>
      </c>
      <c r="AM19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45641.291666666664</v>
      </c>
      <c r="AN19" s="1" t="s">
        <v>77</v>
      </c>
      <c r="AO19" s="3">
        <v>45633.506249999999</v>
      </c>
      <c r="AP19" s="3">
        <v>45641.290972222225</v>
      </c>
      <c r="AQ19" s="11">
        <f>(Table1324[[#This Row],[ETA Inicial]]-Table1324[[#This Row],[ATA]])*24</f>
        <v>-26.983333333453629</v>
      </c>
      <c r="AR19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0.9833333333954215</v>
      </c>
      <c r="AS19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-15.016666666720994</v>
      </c>
      <c r="AT19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45641.999305555553</v>
      </c>
      <c r="AU19" s="7">
        <f>COUNTA(Table1324[[#This Row],[ETA Modificado]], Table1324[[#This Row],[ETA Modificado 2]], Table1324[[#This Row],[ETA Modificado 3]], Table1324[[#This Row],[ETA Modificado 4]], Table1324[[#This Row],[ETA Modificado 5]])</f>
        <v>4</v>
      </c>
      <c r="AV19" s="7">
        <f>COUNTA(Table1324[[#This Row],[Inicio atención nave 2]], Table1324[[#This Row],[Inicio atención nave 3]], Table1324[[#This Row],[Inicio atención nave 4]], Table1324[[#This Row],[Inicio atención nave 5]])</f>
        <v>2</v>
      </c>
      <c r="AW19" s="7">
        <f>ABS((Table1324[[#This Row],[ETA Planificado]]-Table1324[[#This Row],[ETA Inicial]])*24)</f>
        <v>28.000000000116415</v>
      </c>
      <c r="AX19" s="7">
        <f>ABS((Table1324[[#This Row],[ETA Real]]-Table1324[[#This Row],[ETA Planificado]])*24)</f>
        <v>1.0000000001164153</v>
      </c>
      <c r="AY19" s="7">
        <f>ABS((Table1324[[#This Row],[ETA Real]]-Table1324[[#This Row],[ETA Inicial]])*24)</f>
        <v>27</v>
      </c>
      <c r="AZ19" s="7">
        <f>(Table1324[[#This Row],[Último ETD]]-Table1324[[#This Row],[ETA Real]])*24</f>
        <v>16.983333333337214</v>
      </c>
    </row>
    <row r="20" spans="1:52" x14ac:dyDescent="0.3">
      <c r="A20" s="1" t="s">
        <v>78</v>
      </c>
      <c r="B20" s="1" t="s">
        <v>55</v>
      </c>
      <c r="C20" s="1">
        <v>9731949</v>
      </c>
      <c r="D20" s="1" t="s">
        <v>38</v>
      </c>
      <c r="E20" s="1">
        <v>500</v>
      </c>
      <c r="F20" s="1">
        <v>800</v>
      </c>
      <c r="G20" s="1">
        <f>Table1324[[#This Row],[Contenedores Embarque]]+Table1324[[#This Row],[Contenedores Desembarque]]</f>
        <v>1300</v>
      </c>
      <c r="H20" s="1" t="str" cm="1">
        <f t="array" ref="H20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20" s="2">
        <v>45635</v>
      </c>
      <c r="J20" s="2">
        <v>45635</v>
      </c>
      <c r="K20" s="7">
        <f>DATEDIF(Table1324[[#This Row],[Creación Solicitud]], Table1324[[#This Row],[Aprobación solicitud?]], "d")</f>
        <v>0</v>
      </c>
      <c r="L20" s="3">
        <v>45640.833333333336</v>
      </c>
      <c r="M20" s="3">
        <v>45640.5</v>
      </c>
      <c r="N20" s="2">
        <v>45640</v>
      </c>
      <c r="W20" s="3">
        <v>45640.833333333336</v>
      </c>
      <c r="X20" s="3">
        <v>45642.583333333336</v>
      </c>
      <c r="Y20" s="2">
        <v>45638</v>
      </c>
      <c r="Z20" s="3">
        <v>45640.833333333336</v>
      </c>
      <c r="AA20" s="3">
        <v>45642.666666666664</v>
      </c>
      <c r="AB20" s="2">
        <v>45639</v>
      </c>
      <c r="AC20" s="3">
        <v>45640.520833333336</v>
      </c>
      <c r="AD20" s="3">
        <v>45642.666666666664</v>
      </c>
      <c r="AE20" s="2">
        <v>45640</v>
      </c>
      <c r="AL20" s="3">
        <f>Table1324[[#This Row],[Inicio atención nave 1]]</f>
        <v>45640.833333333336</v>
      </c>
      <c r="AM20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45640.520833333336</v>
      </c>
      <c r="AN20" s="3" t="s">
        <v>56</v>
      </c>
      <c r="AO20" s="3">
        <v>45639.654861111114</v>
      </c>
      <c r="AP20" s="3">
        <v>45641.175000000003</v>
      </c>
      <c r="AQ20" s="11">
        <f>(Table1324[[#This Row],[ETA Inicial]]-Table1324[[#This Row],[ATA]])*24</f>
        <v>-8.2000000000116415</v>
      </c>
      <c r="AR20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16.200000000069849</v>
      </c>
      <c r="AS20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1.9999999998835847</v>
      </c>
      <c r="AT20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45642.666666666664</v>
      </c>
      <c r="AU20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0" s="7">
        <f>COUNTA(Table1324[[#This Row],[Inicio atención nave 2]], Table1324[[#This Row],[Inicio atención nave 3]], Table1324[[#This Row],[Inicio atención nave 4]], Table1324[[#This Row],[Inicio atención nave 5]])</f>
        <v>2</v>
      </c>
      <c r="AW20" s="7">
        <f>ABS((Table1324[[#This Row],[ETA Planificado]]-Table1324[[#This Row],[ETA Inicial]])*24)</f>
        <v>0</v>
      </c>
      <c r="AX20" s="7">
        <f>ABS((Table1324[[#This Row],[ETA Real]]-Table1324[[#This Row],[ETA Planificado]])*24)</f>
        <v>7.5</v>
      </c>
      <c r="AY20" s="7">
        <f>ABS((Table1324[[#This Row],[ETA Real]]-Table1324[[#This Row],[ETA Inicial]])*24)</f>
        <v>7.5</v>
      </c>
      <c r="AZ20" s="7">
        <f>(Table1324[[#This Row],[Último ETD]]-Table1324[[#This Row],[ETA Real]])*24</f>
        <v>51.499999999883585</v>
      </c>
    </row>
    <row r="21" spans="1:52" x14ac:dyDescent="0.3">
      <c r="A21" s="1" t="s">
        <v>79</v>
      </c>
      <c r="B21" s="1" t="s">
        <v>80</v>
      </c>
      <c r="C21" s="1">
        <v>9324849</v>
      </c>
      <c r="D21" s="1" t="s">
        <v>45</v>
      </c>
      <c r="E21" s="1">
        <v>500</v>
      </c>
      <c r="F21" s="1">
        <v>1000</v>
      </c>
      <c r="G21" s="1">
        <f>Table1324[[#This Row],[Contenedores Embarque]]+Table1324[[#This Row],[Contenedores Desembarque]]</f>
        <v>1500</v>
      </c>
      <c r="H21" s="1" t="str" cm="1">
        <f t="array" ref="H21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21" s="2">
        <v>45616</v>
      </c>
      <c r="J21" s="2">
        <v>45635</v>
      </c>
      <c r="K21" s="7">
        <f>DATEDIF(Table1324[[#This Row],[Creación Solicitud]], Table1324[[#This Row],[Aprobación solicitud?]], "d")</f>
        <v>19</v>
      </c>
      <c r="L21" s="3">
        <v>45642.25</v>
      </c>
      <c r="M21" s="3">
        <v>45642.1875</v>
      </c>
      <c r="N21" s="2">
        <v>45642</v>
      </c>
      <c r="W21" s="3">
        <v>45642.208333333336</v>
      </c>
      <c r="X21" s="3">
        <v>45643.541666666664</v>
      </c>
      <c r="Y21" s="2">
        <v>45639</v>
      </c>
      <c r="Z21" s="3">
        <v>45642.208333333336</v>
      </c>
      <c r="AA21" s="3">
        <v>45643.5</v>
      </c>
      <c r="AB21" s="2">
        <v>45640</v>
      </c>
      <c r="AC21" s="3">
        <v>45642.234722222223</v>
      </c>
      <c r="AD21" s="3">
        <v>45643.541666666664</v>
      </c>
      <c r="AE21" s="2">
        <v>45642</v>
      </c>
      <c r="AL21" s="3">
        <f>Table1324[[#This Row],[Inicio atención nave 1]]</f>
        <v>45642.208333333336</v>
      </c>
      <c r="AM21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45642.234722222223</v>
      </c>
      <c r="AN21" s="3" t="s">
        <v>39</v>
      </c>
      <c r="AO21" s="3">
        <v>45637.911805555559</v>
      </c>
      <c r="AP21" s="3">
        <v>45642.22152777778</v>
      </c>
      <c r="AQ21" s="11">
        <f>(Table1324[[#This Row],[ETA Inicial]]-Table1324[[#This Row],[ATA]])*24</f>
        <v>0.68333333329064772</v>
      </c>
      <c r="AR21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0.81666666670935228</v>
      </c>
      <c r="AS21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21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45643.541666666664</v>
      </c>
      <c r="AU21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1" s="7">
        <f>COUNTA(Table1324[[#This Row],[Inicio atención nave 2]], Table1324[[#This Row],[Inicio atención nave 3]], Table1324[[#This Row],[Inicio atención nave 4]], Table1324[[#This Row],[Inicio atención nave 5]])</f>
        <v>2</v>
      </c>
      <c r="AW21" s="7">
        <f>ABS((Table1324[[#This Row],[ETA Planificado]]-Table1324[[#This Row],[ETA Inicial]])*24)</f>
        <v>0.99999999994179234</v>
      </c>
      <c r="AX21" s="7">
        <f>ABS((Table1324[[#This Row],[ETA Real]]-Table1324[[#This Row],[ETA Planificado]])*24)</f>
        <v>0.63333333330228925</v>
      </c>
      <c r="AY21" s="7">
        <f>ABS((Table1324[[#This Row],[ETA Real]]-Table1324[[#This Row],[ETA Inicial]])*24)</f>
        <v>0.36666666663950309</v>
      </c>
      <c r="AZ21" s="7">
        <f>(Table1324[[#This Row],[Último ETD]]-Table1324[[#This Row],[ETA Real]])*24</f>
        <v>31.366666666581295</v>
      </c>
    </row>
    <row r="22" spans="1:52" x14ac:dyDescent="0.3">
      <c r="A22" s="1" t="s">
        <v>81</v>
      </c>
      <c r="B22" s="1" t="s">
        <v>41</v>
      </c>
      <c r="C22" s="1">
        <v>9732591</v>
      </c>
      <c r="D22" s="1" t="s">
        <v>38</v>
      </c>
      <c r="E22" s="1">
        <v>1400</v>
      </c>
      <c r="F22" s="1">
        <v>900</v>
      </c>
      <c r="G22" s="1">
        <f>Table1324[[#This Row],[Contenedores Embarque]]+Table1324[[#This Row],[Contenedores Desembarque]]</f>
        <v>2300</v>
      </c>
      <c r="H22" s="1" t="str" cm="1">
        <f t="array" ref="H22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C</v>
      </c>
      <c r="I22" s="2">
        <v>45620</v>
      </c>
      <c r="J22" s="2">
        <v>45635</v>
      </c>
      <c r="K22" s="7">
        <f>DATEDIF(Table1324[[#This Row],[Creación Solicitud]], Table1324[[#This Row],[Aprobación solicitud?]], "d")</f>
        <v>15</v>
      </c>
      <c r="L22" s="3">
        <v>45642.5</v>
      </c>
      <c r="M22" s="3">
        <v>45642.416666666664</v>
      </c>
      <c r="N22" s="2">
        <v>45642</v>
      </c>
      <c r="W22" s="3">
        <v>45642.625</v>
      </c>
      <c r="X22" s="3">
        <v>45644.833333333336</v>
      </c>
      <c r="Y22" s="2">
        <v>45639</v>
      </c>
      <c r="Z22" s="3">
        <v>45642.458333333336</v>
      </c>
      <c r="AA22" s="3">
        <v>45644.833333333336</v>
      </c>
      <c r="AB22" s="2">
        <v>45640</v>
      </c>
      <c r="AL22" s="3">
        <f>Table1324[[#This Row],[Inicio atención nave 1]]</f>
        <v>45642.625</v>
      </c>
      <c r="AM22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45642.458333333336</v>
      </c>
      <c r="AN22" s="3" t="s">
        <v>42</v>
      </c>
      <c r="AO22" s="3">
        <v>45640.370833333334</v>
      </c>
      <c r="AP22" s="3">
        <v>45642.469444444447</v>
      </c>
      <c r="AQ22" s="11">
        <f>(Table1324[[#This Row],[ETA Inicial]]-Table1324[[#This Row],[ATA]])*24</f>
        <v>0.73333333327900618</v>
      </c>
      <c r="AR22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1.2666666667792015</v>
      </c>
      <c r="AS22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22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45644.833333333336</v>
      </c>
      <c r="AU22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2" s="7">
        <f>COUNTA(Table1324[[#This Row],[Inicio atención nave 2]], Table1324[[#This Row],[Inicio atención nave 3]], Table1324[[#This Row],[Inicio atención nave 4]], Table1324[[#This Row],[Inicio atención nave 5]])</f>
        <v>1</v>
      </c>
      <c r="AW22" s="7">
        <f>ABS((Table1324[[#This Row],[ETA Planificado]]-Table1324[[#This Row],[ETA Inicial]])*24)</f>
        <v>3</v>
      </c>
      <c r="AX22" s="7">
        <f>ABS((Table1324[[#This Row],[ETA Real]]-Table1324[[#This Row],[ETA Planificado]])*24)</f>
        <v>3.9999999999417923</v>
      </c>
      <c r="AY22" s="7">
        <f>ABS((Table1324[[#This Row],[ETA Real]]-Table1324[[#This Row],[ETA Inicial]])*24)</f>
        <v>0.99999999994179234</v>
      </c>
      <c r="AZ22" s="7">
        <f>(Table1324[[#This Row],[Último ETD]]-Table1324[[#This Row],[ETA Real]])*24</f>
        <v>57</v>
      </c>
    </row>
    <row r="23" spans="1:52" x14ac:dyDescent="0.3">
      <c r="A23" s="1" t="s">
        <v>82</v>
      </c>
      <c r="B23" s="1" t="s">
        <v>55</v>
      </c>
      <c r="C23" s="1">
        <v>9731925</v>
      </c>
      <c r="D23" s="1" t="s">
        <v>45</v>
      </c>
      <c r="E23" s="1">
        <v>1000</v>
      </c>
      <c r="F23" s="1">
        <v>1200</v>
      </c>
      <c r="G23" s="1">
        <f>Table1324[[#This Row],[Contenedores Embarque]]+Table1324[[#This Row],[Contenedores Desembarque]]</f>
        <v>2200</v>
      </c>
      <c r="H23" s="1" t="str" cm="1">
        <f t="array" ref="H23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C</v>
      </c>
      <c r="I23" s="5">
        <v>45635</v>
      </c>
      <c r="J23" s="2">
        <v>45636</v>
      </c>
      <c r="K23" s="7">
        <f>DATEDIF(Table1324[[#This Row],[Creación Solicitud]], Table1324[[#This Row],[Aprobación solicitud?]], "d")</f>
        <v>1</v>
      </c>
      <c r="L23" s="3">
        <v>45643.833333333336</v>
      </c>
      <c r="M23" s="3">
        <v>45643.75</v>
      </c>
      <c r="N23" s="2">
        <v>45641</v>
      </c>
      <c r="O23" s="3">
        <v>45643.916666666664</v>
      </c>
      <c r="P23" s="2">
        <v>45643</v>
      </c>
      <c r="Q23" s="3">
        <v>45643.833333333336</v>
      </c>
      <c r="R23" s="2">
        <v>45643</v>
      </c>
      <c r="W23" s="3">
        <v>45643.583333333336</v>
      </c>
      <c r="X23" s="3">
        <v>45646.25</v>
      </c>
      <c r="Y23" s="2">
        <v>45640</v>
      </c>
      <c r="Z23" s="3">
        <v>45643.833333333336</v>
      </c>
      <c r="AA23" s="3">
        <v>45646.541666666664</v>
      </c>
      <c r="AB23" s="2">
        <v>45642</v>
      </c>
      <c r="AC23" s="3">
        <v>45643.833333333336</v>
      </c>
      <c r="AD23" s="3">
        <v>45646.333333333336</v>
      </c>
      <c r="AE23" s="2">
        <v>45644</v>
      </c>
      <c r="AL23" s="3">
        <f>Table1324[[#This Row],[Inicio atención nave 1]]</f>
        <v>45643.583333333336</v>
      </c>
      <c r="AM23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45643.833333333336</v>
      </c>
      <c r="AN23" s="3" t="s">
        <v>39</v>
      </c>
      <c r="AO23" s="3">
        <v>45640.51458333333</v>
      </c>
      <c r="AP23" s="3">
        <v>45643.933333333334</v>
      </c>
      <c r="AQ23" s="11">
        <f>(Table1324[[#This Row],[ETA Inicial]]-Table1324[[#This Row],[ATA]])*24</f>
        <v>-2.3999999999650754</v>
      </c>
      <c r="AR23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2.3999999999650754</v>
      </c>
      <c r="AS23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2.0000000000582077</v>
      </c>
      <c r="AT23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45646.333333333336</v>
      </c>
      <c r="AU23" s="7">
        <f>COUNTA(Table1324[[#This Row],[ETA Modificado]], Table1324[[#This Row],[ETA Modificado 2]], Table1324[[#This Row],[ETA Modificado 3]], Table1324[[#This Row],[ETA Modificado 4]], Table1324[[#This Row],[ETA Modificado 5]])</f>
        <v>3</v>
      </c>
      <c r="AV23" s="7">
        <f>COUNTA(Table1324[[#This Row],[Inicio atención nave 2]], Table1324[[#This Row],[Inicio atención nave 3]], Table1324[[#This Row],[Inicio atención nave 4]], Table1324[[#This Row],[Inicio atención nave 5]])</f>
        <v>2</v>
      </c>
      <c r="AW23" s="7">
        <f>ABS((Table1324[[#This Row],[ETA Planificado]]-Table1324[[#This Row],[ETA Inicial]])*24)</f>
        <v>6</v>
      </c>
      <c r="AX23" s="7">
        <f>ABS((Table1324[[#This Row],[ETA Real]]-Table1324[[#This Row],[ETA Planificado]])*24)</f>
        <v>6</v>
      </c>
      <c r="AY23" s="7">
        <f>ABS((Table1324[[#This Row],[ETA Real]]-Table1324[[#This Row],[ETA Inicial]])*24)</f>
        <v>0</v>
      </c>
      <c r="AZ23" s="7">
        <f>(Table1324[[#This Row],[Último ETD]]-Table1324[[#This Row],[ETA Real]])*24</f>
        <v>60</v>
      </c>
    </row>
    <row r="24" spans="1:52" x14ac:dyDescent="0.3">
      <c r="A24" s="1" t="s">
        <v>83</v>
      </c>
      <c r="B24" s="1" t="s">
        <v>37</v>
      </c>
      <c r="C24" s="1">
        <v>9629108</v>
      </c>
      <c r="D24" s="1" t="s">
        <v>38</v>
      </c>
      <c r="E24" s="1">
        <v>1200</v>
      </c>
      <c r="F24" s="1">
        <v>1600</v>
      </c>
      <c r="G24" s="1">
        <f>Table1324[[#This Row],[Contenedores Embarque]]+Table1324[[#This Row],[Contenedores Desembarque]]</f>
        <v>2800</v>
      </c>
      <c r="H24" s="1" t="str" cm="1">
        <f t="array" ref="H24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24" s="5">
        <v>45637</v>
      </c>
      <c r="J24" s="2">
        <v>45637</v>
      </c>
      <c r="K24" s="7">
        <f>DATEDIF(Table1324[[#This Row],[Creación Solicitud]], Table1324[[#This Row],[Aprobación solicitud?]], "d")</f>
        <v>0</v>
      </c>
      <c r="L24" s="3">
        <v>45642.541666666664</v>
      </c>
      <c r="M24" s="3">
        <v>45643.25</v>
      </c>
      <c r="N24" s="2">
        <v>45642</v>
      </c>
      <c r="W24" s="3">
        <v>45642.708333333336</v>
      </c>
      <c r="X24" s="3">
        <v>45645.208333333336</v>
      </c>
      <c r="Y24" s="2">
        <v>45639</v>
      </c>
      <c r="Z24" s="3">
        <v>45643.666666666664</v>
      </c>
      <c r="AA24" s="3">
        <v>45645.875</v>
      </c>
      <c r="AB24" s="2">
        <v>45642</v>
      </c>
      <c r="AC24" s="3">
        <v>45643.708333333336</v>
      </c>
      <c r="AD24" s="3">
        <v>45645.875</v>
      </c>
      <c r="AE24" s="2">
        <v>45643</v>
      </c>
      <c r="AL24" s="3">
        <f>Table1324[[#This Row],[Inicio atención nave 1]]</f>
        <v>45642.708333333336</v>
      </c>
      <c r="AM24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45643.708333333336</v>
      </c>
      <c r="AN24" s="3" t="s">
        <v>39</v>
      </c>
      <c r="AO24" s="3">
        <v>45639.364583333336</v>
      </c>
      <c r="AP24" s="3">
        <v>45643.854166666664</v>
      </c>
      <c r="AQ24" s="11">
        <f>(Table1324[[#This Row],[ETA Inicial]]-Table1324[[#This Row],[ATA]])*24</f>
        <v>-31.5</v>
      </c>
      <c r="AR24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14.499999999941792</v>
      </c>
      <c r="AS24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15.999999999941792</v>
      </c>
      <c r="AT24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45645.875</v>
      </c>
      <c r="AU24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4" s="7">
        <f>COUNTA(Table1324[[#This Row],[Inicio atención nave 2]], Table1324[[#This Row],[Inicio atención nave 3]], Table1324[[#This Row],[Inicio atención nave 4]], Table1324[[#This Row],[Inicio atención nave 5]])</f>
        <v>2</v>
      </c>
      <c r="AW24" s="7">
        <f>ABS((Table1324[[#This Row],[ETA Planificado]]-Table1324[[#This Row],[ETA Inicial]])*24)</f>
        <v>4.0000000001164153</v>
      </c>
      <c r="AX24" s="7">
        <f>ABS((Table1324[[#This Row],[ETA Real]]-Table1324[[#This Row],[ETA Planificado]])*24)</f>
        <v>24</v>
      </c>
      <c r="AY24" s="7">
        <f>ABS((Table1324[[#This Row],[ETA Real]]-Table1324[[#This Row],[ETA Inicial]])*24)</f>
        <v>28.000000000116415</v>
      </c>
      <c r="AZ24" s="7">
        <f>(Table1324[[#This Row],[Último ETD]]-Table1324[[#This Row],[ETA Real]])*24</f>
        <v>51.999999999941792</v>
      </c>
    </row>
    <row r="25" spans="1:52" x14ac:dyDescent="0.3">
      <c r="A25" s="1" t="s">
        <v>84</v>
      </c>
      <c r="B25" s="1" t="s">
        <v>85</v>
      </c>
      <c r="C25" s="1">
        <v>9778117</v>
      </c>
      <c r="D25" s="1" t="s">
        <v>38</v>
      </c>
      <c r="F25" s="1">
        <v>1100</v>
      </c>
      <c r="G25" s="1">
        <f>Table1324[[#This Row],[Contenedores Embarque]]+Table1324[[#This Row],[Contenedores Desembarque]]</f>
        <v>1100</v>
      </c>
      <c r="H25" s="1" t="str" cm="1">
        <f t="array" ref="H25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25" s="5">
        <v>45629</v>
      </c>
      <c r="J25" s="2">
        <v>45637</v>
      </c>
      <c r="K25" s="7">
        <f>DATEDIF(Table1324[[#This Row],[Creación Solicitud]], Table1324[[#This Row],[Aprobación solicitud?]], "d")</f>
        <v>8</v>
      </c>
      <c r="L25" s="3">
        <v>45644.458333333336</v>
      </c>
      <c r="M25" s="3">
        <v>45647.541666666664</v>
      </c>
      <c r="N25" s="2">
        <v>45640</v>
      </c>
      <c r="O25" s="3">
        <v>45646.25</v>
      </c>
      <c r="P25" s="2">
        <v>45642</v>
      </c>
      <c r="Q25" s="3">
        <v>45646.5</v>
      </c>
      <c r="R25" s="2">
        <v>45645</v>
      </c>
      <c r="W25" s="3">
        <v>45646.5</v>
      </c>
      <c r="X25" s="3">
        <v>45648.541666666664</v>
      </c>
      <c r="Y25" s="2">
        <v>45645</v>
      </c>
      <c r="AL25" s="3">
        <f>Table1324[[#This Row],[Inicio atención nave 1]]</f>
        <v>45646.5</v>
      </c>
      <c r="AM25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45646.5</v>
      </c>
      <c r="AN25" s="3" t="s">
        <v>86</v>
      </c>
      <c r="AO25" s="3">
        <v>45637.84097222222</v>
      </c>
      <c r="AP25" s="3">
        <v>45646.634722222225</v>
      </c>
      <c r="AQ25" s="11">
        <f>(Table1324[[#This Row],[ETA Inicial]]-Table1324[[#This Row],[ATA]])*24</f>
        <v>-52.233333333337214</v>
      </c>
      <c r="AR25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3.2333333333954215</v>
      </c>
      <c r="AS25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25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45648.541666666664</v>
      </c>
      <c r="AU25" s="7">
        <f>COUNTA(Table1324[[#This Row],[ETA Modificado]], Table1324[[#This Row],[ETA Modificado 2]], Table1324[[#This Row],[ETA Modificado 3]], Table1324[[#This Row],[ETA Modificado 4]], Table1324[[#This Row],[ETA Modificado 5]])</f>
        <v>3</v>
      </c>
      <c r="AV25" s="7">
        <f>COUNTA(Table1324[[#This Row],[Inicio atención nave 2]], Table1324[[#This Row],[Inicio atención nave 3]], Table1324[[#This Row],[Inicio atención nave 4]], Table1324[[#This Row],[Inicio atención nave 5]])</f>
        <v>0</v>
      </c>
      <c r="AW25" s="7">
        <f>ABS((Table1324[[#This Row],[ETA Planificado]]-Table1324[[#This Row],[ETA Inicial]])*24)</f>
        <v>48.999999999941792</v>
      </c>
      <c r="AX25" s="7">
        <f>ABS((Table1324[[#This Row],[ETA Real]]-Table1324[[#This Row],[ETA Planificado]])*24)</f>
        <v>0</v>
      </c>
      <c r="AY25" s="7">
        <f>ABS((Table1324[[#This Row],[ETA Real]]-Table1324[[#This Row],[ETA Inicial]])*24)</f>
        <v>48.999999999941792</v>
      </c>
      <c r="AZ25" s="7">
        <f>(Table1324[[#This Row],[Último ETD]]-Table1324[[#This Row],[ETA Real]])*24</f>
        <v>48.999999999941792</v>
      </c>
    </row>
    <row r="26" spans="1:52" x14ac:dyDescent="0.3">
      <c r="A26" s="1" t="s">
        <v>87</v>
      </c>
      <c r="B26" s="1" t="s">
        <v>85</v>
      </c>
      <c r="C26" s="1">
        <v>9461441</v>
      </c>
      <c r="D26" s="1" t="s">
        <v>38</v>
      </c>
      <c r="E26" s="1">
        <v>1600</v>
      </c>
      <c r="F26" s="1">
        <v>2400</v>
      </c>
      <c r="G26" s="1">
        <f>Table1324[[#This Row],[Contenedores Embarque]]+Table1324[[#This Row],[Contenedores Desembarque]]</f>
        <v>4000</v>
      </c>
      <c r="H26" s="1" t="str" cm="1">
        <f t="array" ref="H26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26" s="5">
        <v>45629</v>
      </c>
      <c r="J26" s="2">
        <v>45638</v>
      </c>
      <c r="K26" s="7">
        <f>DATEDIF(Table1324[[#This Row],[Creación Solicitud]], Table1324[[#This Row],[Aprobación solicitud?]], "d")</f>
        <v>9</v>
      </c>
      <c r="L26" s="3">
        <v>45645.25</v>
      </c>
      <c r="M26" s="3">
        <v>45644.833333333336</v>
      </c>
      <c r="N26" s="2">
        <v>45642</v>
      </c>
      <c r="W26" s="3">
        <v>45644.875</v>
      </c>
      <c r="X26" s="3">
        <v>45647.833333333336</v>
      </c>
      <c r="Y26" s="2">
        <v>45643</v>
      </c>
      <c r="Z26" s="3">
        <v>45644.875</v>
      </c>
      <c r="AA26" s="3">
        <v>45647.916666666664</v>
      </c>
      <c r="AB26" s="2">
        <v>45644</v>
      </c>
      <c r="AC26" s="3">
        <v>45644.875</v>
      </c>
      <c r="AD26" s="3">
        <v>45648.208333333336</v>
      </c>
      <c r="AE26" s="2">
        <v>45645</v>
      </c>
      <c r="AF26" s="3">
        <v>45644.875</v>
      </c>
      <c r="AG26" s="3">
        <v>45648.1875</v>
      </c>
      <c r="AH26" s="2">
        <v>45647</v>
      </c>
      <c r="AL26" s="3">
        <f>Table1324[[#This Row],[Inicio atención nave 1]]</f>
        <v>45644.875</v>
      </c>
      <c r="AM26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45644.875</v>
      </c>
      <c r="AN26" s="3" t="s">
        <v>39</v>
      </c>
      <c r="AO26" s="3">
        <v>45641.843055555553</v>
      </c>
      <c r="AP26" s="3">
        <v>45644.986111111109</v>
      </c>
      <c r="AQ26" s="11">
        <f>(Table1324[[#This Row],[ETA Inicial]]-Table1324[[#This Row],[ATA]])*24</f>
        <v>6.3333333333721384</v>
      </c>
      <c r="AR26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3.6666666665696539</v>
      </c>
      <c r="AS26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8.4999999999417923</v>
      </c>
      <c r="AT26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45648.1875</v>
      </c>
      <c r="AU26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6" s="7">
        <f>COUNTA(Table1324[[#This Row],[Inicio atención nave 2]], Table1324[[#This Row],[Inicio atención nave 3]], Table1324[[#This Row],[Inicio atención nave 4]], Table1324[[#This Row],[Inicio atención nave 5]])</f>
        <v>3</v>
      </c>
      <c r="AW26" s="7">
        <f>ABS((Table1324[[#This Row],[ETA Planificado]]-Table1324[[#This Row],[ETA Inicial]])*24)</f>
        <v>9</v>
      </c>
      <c r="AX26" s="7">
        <f>ABS((Table1324[[#This Row],[ETA Real]]-Table1324[[#This Row],[ETA Planificado]])*24)</f>
        <v>0</v>
      </c>
      <c r="AY26" s="7">
        <f>ABS((Table1324[[#This Row],[ETA Real]]-Table1324[[#This Row],[ETA Inicial]])*24)</f>
        <v>9</v>
      </c>
      <c r="AZ26" s="7">
        <f>(Table1324[[#This Row],[Último ETD]]-Table1324[[#This Row],[ETA Real]])*24</f>
        <v>79.5</v>
      </c>
    </row>
    <row r="27" spans="1:52" x14ac:dyDescent="0.3">
      <c r="A27" s="1" t="s">
        <v>88</v>
      </c>
      <c r="B27" s="1" t="s">
        <v>89</v>
      </c>
      <c r="C27" s="1">
        <v>9314985</v>
      </c>
      <c r="D27" s="1" t="s">
        <v>45</v>
      </c>
      <c r="E27" s="1">
        <v>600</v>
      </c>
      <c r="F27" s="1">
        <v>600</v>
      </c>
      <c r="G27" s="1">
        <f>Table1324[[#This Row],[Contenedores Embarque]]+Table1324[[#This Row],[Contenedores Desembarque]]</f>
        <v>1200</v>
      </c>
      <c r="H27" s="1" t="str" cm="1">
        <f t="array" ref="H27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27" s="5">
        <v>45637</v>
      </c>
      <c r="J27" s="2">
        <v>45638</v>
      </c>
      <c r="K27" s="7">
        <f>DATEDIF(Table1324[[#This Row],[Creación Solicitud]], Table1324[[#This Row],[Aprobación solicitud?]], "d")</f>
        <v>1</v>
      </c>
      <c r="L27" s="3">
        <v>45645.541666666664</v>
      </c>
      <c r="M27" s="3">
        <v>45645.645833333336</v>
      </c>
      <c r="N27" s="2">
        <v>45646</v>
      </c>
      <c r="W27" s="3">
        <v>45645.791666666664</v>
      </c>
      <c r="X27" s="3">
        <v>45646.999305555553</v>
      </c>
      <c r="Y27" s="2">
        <v>45642</v>
      </c>
      <c r="Z27" s="3">
        <v>45645.770833333336</v>
      </c>
      <c r="AA27" s="3">
        <v>45646.999305555553</v>
      </c>
      <c r="AB27" s="2">
        <v>45645</v>
      </c>
      <c r="AC27" s="3">
        <v>45645.770833333336</v>
      </c>
      <c r="AD27" s="3">
        <v>45647.541666666664</v>
      </c>
      <c r="AE27" s="2">
        <v>45646</v>
      </c>
      <c r="AF27" s="3">
        <v>45645.770833333336</v>
      </c>
      <c r="AG27" s="3">
        <v>45647.833333333336</v>
      </c>
      <c r="AH27" s="2">
        <v>45647</v>
      </c>
      <c r="AL27" s="3">
        <f>Table1324[[#This Row],[Inicio atención nave 1]]</f>
        <v>45645.791666666664</v>
      </c>
      <c r="AM27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45645.770833333336</v>
      </c>
      <c r="AN27" s="3" t="s">
        <v>39</v>
      </c>
      <c r="AO27" s="3">
        <v>45641.961111111108</v>
      </c>
      <c r="AP27" s="3">
        <v>45645.796527777777</v>
      </c>
      <c r="AQ27" s="11">
        <f>(Table1324[[#This Row],[ETA Inicial]]-Table1324[[#This Row],[ATA]])*24</f>
        <v>-6.1166666666977108</v>
      </c>
      <c r="AR27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3.6166666665812954</v>
      </c>
      <c r="AS27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20.016666666779201</v>
      </c>
      <c r="AT27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45647.833333333336</v>
      </c>
      <c r="AU27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7" s="7">
        <f>COUNTA(Table1324[[#This Row],[Inicio atención nave 2]], Table1324[[#This Row],[Inicio atención nave 3]], Table1324[[#This Row],[Inicio atención nave 4]], Table1324[[#This Row],[Inicio atención nave 5]])</f>
        <v>3</v>
      </c>
      <c r="AW27" s="7">
        <f>ABS((Table1324[[#This Row],[ETA Planificado]]-Table1324[[#This Row],[ETA Inicial]])*24)</f>
        <v>6</v>
      </c>
      <c r="AX27" s="7">
        <f>ABS((Table1324[[#This Row],[ETA Real]]-Table1324[[#This Row],[ETA Planificado]])*24)</f>
        <v>0.49999999988358468</v>
      </c>
      <c r="AY27" s="7">
        <f>ABS((Table1324[[#This Row],[ETA Real]]-Table1324[[#This Row],[ETA Inicial]])*24)</f>
        <v>5.5000000001164153</v>
      </c>
      <c r="AZ27" s="7">
        <f>(Table1324[[#This Row],[Último ETD]]-Table1324[[#This Row],[ETA Real]])*24</f>
        <v>49.5</v>
      </c>
    </row>
    <row r="28" spans="1:52" x14ac:dyDescent="0.3">
      <c r="A28" s="1" t="s">
        <v>90</v>
      </c>
      <c r="B28" s="1" t="s">
        <v>49</v>
      </c>
      <c r="C28" s="1">
        <v>9143556</v>
      </c>
      <c r="D28" s="1" t="s">
        <v>38</v>
      </c>
      <c r="E28" s="1">
        <v>400</v>
      </c>
      <c r="F28" s="1">
        <v>600</v>
      </c>
      <c r="G28" s="1">
        <f>Table1324[[#This Row],[Contenedores Embarque]]+Table1324[[#This Row],[Contenedores Desembarque]]</f>
        <v>1000</v>
      </c>
      <c r="H28" s="1" t="str" cm="1">
        <f t="array" ref="H28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28" s="2">
        <v>45629</v>
      </c>
      <c r="J28" s="2">
        <v>45640</v>
      </c>
      <c r="K28" s="7">
        <f>DATEDIF(Table1324[[#This Row],[Creación Solicitud]], Table1324[[#This Row],[Aprobación solicitud?]], "d")</f>
        <v>11</v>
      </c>
      <c r="L28" s="3">
        <v>45647.166666666664</v>
      </c>
      <c r="M28" s="3">
        <v>45646.875</v>
      </c>
      <c r="N28" s="2">
        <v>45644</v>
      </c>
      <c r="O28" s="3">
        <v>45647.25</v>
      </c>
      <c r="P28" s="2">
        <v>45645</v>
      </c>
      <c r="W28" s="3">
        <v>45646.916666666664</v>
      </c>
      <c r="X28" s="3">
        <v>45648.208333333336</v>
      </c>
      <c r="Y28" s="2">
        <v>45644</v>
      </c>
      <c r="Z28" s="3">
        <v>45647.25</v>
      </c>
      <c r="AA28" s="3">
        <v>45648.875</v>
      </c>
      <c r="AB28" s="2">
        <v>45645</v>
      </c>
      <c r="AC28" s="3">
        <v>45647.520833333336</v>
      </c>
      <c r="AD28" s="3">
        <v>45648.875</v>
      </c>
      <c r="AE28" s="2">
        <v>45647</v>
      </c>
      <c r="AL28" s="3">
        <f>Table1324[[#This Row],[Inicio atención nave 1]]</f>
        <v>45646.916666666664</v>
      </c>
      <c r="AM28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45647.520833333336</v>
      </c>
      <c r="AN28" s="3" t="s">
        <v>77</v>
      </c>
      <c r="AO28" s="3">
        <v>45639.981944444444</v>
      </c>
      <c r="AP28" s="3">
        <v>45647.533333333333</v>
      </c>
      <c r="AQ28" s="11">
        <f>(Table1324[[#This Row],[ETA Inicial]]-Table1324[[#This Row],[ATA]])*24</f>
        <v>-8.8000000000465661</v>
      </c>
      <c r="AR28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6.7999999999883585</v>
      </c>
      <c r="AS28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15.999999999941792</v>
      </c>
      <c r="AT28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45648.875</v>
      </c>
      <c r="AU28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28" s="7">
        <f>COUNTA(Table1324[[#This Row],[Inicio atención nave 2]], Table1324[[#This Row],[Inicio atención nave 3]], Table1324[[#This Row],[Inicio atención nave 4]], Table1324[[#This Row],[Inicio atención nave 5]])</f>
        <v>2</v>
      </c>
      <c r="AW28" s="7">
        <f>ABS((Table1324[[#This Row],[ETA Planificado]]-Table1324[[#This Row],[ETA Inicial]])*24)</f>
        <v>6</v>
      </c>
      <c r="AX28" s="7">
        <f>ABS((Table1324[[#This Row],[ETA Real]]-Table1324[[#This Row],[ETA Planificado]])*24)</f>
        <v>14.500000000116415</v>
      </c>
      <c r="AY28" s="7">
        <f>ABS((Table1324[[#This Row],[ETA Real]]-Table1324[[#This Row],[ETA Inicial]])*24)</f>
        <v>8.5000000001164153</v>
      </c>
      <c r="AZ28" s="7">
        <f>(Table1324[[#This Row],[Último ETD]]-Table1324[[#This Row],[ETA Real]])*24</f>
        <v>32.499999999941792</v>
      </c>
    </row>
    <row r="29" spans="1:52" x14ac:dyDescent="0.3">
      <c r="A29" s="1" t="s">
        <v>91</v>
      </c>
      <c r="B29" s="1" t="s">
        <v>55</v>
      </c>
      <c r="C29" s="1">
        <v>9345427</v>
      </c>
      <c r="D29" s="1" t="s">
        <v>38</v>
      </c>
      <c r="E29" s="1">
        <v>900</v>
      </c>
      <c r="F29" s="1">
        <v>900</v>
      </c>
      <c r="G29" s="1">
        <f>Table1324[[#This Row],[Contenedores Embarque]]+Table1324[[#This Row],[Contenedores Desembarque]]</f>
        <v>1800</v>
      </c>
      <c r="H29" s="1" t="str" cm="1">
        <f t="array" ref="H29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C</v>
      </c>
      <c r="I29" s="2">
        <v>45638</v>
      </c>
      <c r="J29" s="2">
        <v>45640</v>
      </c>
      <c r="K29" s="7">
        <f>DATEDIF(Table1324[[#This Row],[Creación Solicitud]], Table1324[[#This Row],[Aprobación solicitud?]], "d")</f>
        <v>2</v>
      </c>
      <c r="L29" s="3">
        <v>45647.833333333336</v>
      </c>
      <c r="M29" s="3">
        <v>45647.916666666664</v>
      </c>
      <c r="N29" s="2">
        <v>45645</v>
      </c>
      <c r="W29" s="3">
        <v>45648.25</v>
      </c>
      <c r="X29" s="3">
        <v>45650.208333333336</v>
      </c>
      <c r="Y29" s="2">
        <v>45646</v>
      </c>
      <c r="Z29" s="3">
        <v>45648.357638888891</v>
      </c>
      <c r="AA29" s="3">
        <v>45650.208333333336</v>
      </c>
      <c r="AB29" s="2">
        <v>45648</v>
      </c>
      <c r="AL29" s="3">
        <f>Table1324[[#This Row],[Inicio atención nave 1]]</f>
        <v>45648.25</v>
      </c>
      <c r="AM29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45648.357638888891</v>
      </c>
      <c r="AN29" s="3" t="s">
        <v>56</v>
      </c>
      <c r="AO29" s="3">
        <v>45647.22152777778</v>
      </c>
      <c r="AP29" s="3">
        <v>45647.869444444441</v>
      </c>
      <c r="AQ29" s="11">
        <f>(Table1324[[#This Row],[ETA Inicial]]-Table1324[[#This Row],[ATA]])*24</f>
        <v>-0.86666666652308777</v>
      </c>
      <c r="AR29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-1.1333333333604969</v>
      </c>
      <c r="AS29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29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45650.208333333336</v>
      </c>
      <c r="AU29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29" s="7">
        <f>COUNTA(Table1324[[#This Row],[Inicio atención nave 2]], Table1324[[#This Row],[Inicio atención nave 3]], Table1324[[#This Row],[Inicio atención nave 4]], Table1324[[#This Row],[Inicio atención nave 5]])</f>
        <v>1</v>
      </c>
      <c r="AW29" s="7">
        <f>ABS((Table1324[[#This Row],[ETA Planificado]]-Table1324[[#This Row],[ETA Inicial]])*24)</f>
        <v>9.9999999999417923</v>
      </c>
      <c r="AX29" s="7">
        <f>ABS((Table1324[[#This Row],[ETA Real]]-Table1324[[#This Row],[ETA Planificado]])*24)</f>
        <v>2.5833333333721384</v>
      </c>
      <c r="AY29" s="7">
        <f>ABS((Table1324[[#This Row],[ETA Real]]-Table1324[[#This Row],[ETA Inicial]])*24)</f>
        <v>12.583333333313931</v>
      </c>
      <c r="AZ29" s="7">
        <f>(Table1324[[#This Row],[Último ETD]]-Table1324[[#This Row],[ETA Real]])*24</f>
        <v>44.416666666686069</v>
      </c>
    </row>
    <row r="30" spans="1:52" x14ac:dyDescent="0.3">
      <c r="A30" s="1" t="s">
        <v>92</v>
      </c>
      <c r="B30" s="1" t="s">
        <v>66</v>
      </c>
      <c r="C30" s="1">
        <v>9191632</v>
      </c>
      <c r="D30" s="1" t="s">
        <v>38</v>
      </c>
      <c r="E30" s="1">
        <v>120</v>
      </c>
      <c r="F30" s="1">
        <v>150</v>
      </c>
      <c r="G30" s="1">
        <f>Table1324[[#This Row],[Contenedores Embarque]]+Table1324[[#This Row],[Contenedores Desembarque]]</f>
        <v>270</v>
      </c>
      <c r="H30" s="1" t="str" cm="1">
        <f t="array" ref="H30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A</v>
      </c>
      <c r="I30" s="2">
        <v>45641</v>
      </c>
      <c r="J30" s="2">
        <v>45641</v>
      </c>
      <c r="K30" s="7">
        <f>DATEDIF(Table1324[[#This Row],[Creación Solicitud]], Table1324[[#This Row],[Aprobación solicitud?]], "d")</f>
        <v>0</v>
      </c>
      <c r="L30" s="3">
        <v>45645.291666666664</v>
      </c>
      <c r="M30" s="3">
        <v>45645.375</v>
      </c>
      <c r="N30" s="2">
        <v>45646</v>
      </c>
      <c r="W30" s="3">
        <v>45645.916666666664</v>
      </c>
      <c r="X30" s="3">
        <v>45646.75</v>
      </c>
      <c r="Y30" s="2">
        <v>45643</v>
      </c>
      <c r="Z30" s="3">
        <v>45646.25</v>
      </c>
      <c r="AA30" s="3">
        <v>45646.875</v>
      </c>
      <c r="AB30" s="2">
        <v>45644</v>
      </c>
      <c r="AC30" s="3">
        <v>45645.916666666664</v>
      </c>
      <c r="AD30" s="3">
        <v>45646.75</v>
      </c>
      <c r="AE30" s="2">
        <v>45645</v>
      </c>
      <c r="AF30" s="3">
        <v>45646.520833333336</v>
      </c>
      <c r="AG30" s="3">
        <v>45647.208333333336</v>
      </c>
      <c r="AH30" s="2">
        <v>45646</v>
      </c>
      <c r="AI30" s="3">
        <v>45646.520833333336</v>
      </c>
      <c r="AJ30" s="3">
        <v>45647.479166666664</v>
      </c>
      <c r="AK30" s="2">
        <v>45647</v>
      </c>
      <c r="AL30" s="3">
        <f>Table1324[[#This Row],[Inicio atención nave 1]]</f>
        <v>45645.916666666664</v>
      </c>
      <c r="AM30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45646.520833333336</v>
      </c>
      <c r="AN30" s="3" t="s">
        <v>67</v>
      </c>
      <c r="AO30" s="3">
        <v>45644.746527777781</v>
      </c>
      <c r="AP30" s="3">
        <v>45645.395833333336</v>
      </c>
      <c r="AQ30" s="11">
        <f>(Table1324[[#This Row],[ETA Inicial]]-Table1324[[#This Row],[ATA]])*24</f>
        <v>-2.5000000001164153</v>
      </c>
      <c r="AR30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0.50000000005820766</v>
      </c>
      <c r="AS30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17.499999999941792</v>
      </c>
      <c r="AT30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45647.479166666664</v>
      </c>
      <c r="AU30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30" s="7">
        <f>COUNTA(Table1324[[#This Row],[Inicio atención nave 2]], Table1324[[#This Row],[Inicio atención nave 3]], Table1324[[#This Row],[Inicio atención nave 4]], Table1324[[#This Row],[Inicio atención nave 5]])</f>
        <v>4</v>
      </c>
      <c r="AW30" s="7">
        <f>ABS((Table1324[[#This Row],[ETA Planificado]]-Table1324[[#This Row],[ETA Inicial]])*24)</f>
        <v>15</v>
      </c>
      <c r="AX30" s="7">
        <f>ABS((Table1324[[#This Row],[ETA Real]]-Table1324[[#This Row],[ETA Planificado]])*24)</f>
        <v>14.500000000116415</v>
      </c>
      <c r="AY30" s="7">
        <f>ABS((Table1324[[#This Row],[ETA Real]]-Table1324[[#This Row],[ETA Inicial]])*24)</f>
        <v>29.500000000116415</v>
      </c>
      <c r="AZ30" s="7">
        <f>(Table1324[[#This Row],[Último ETD]]-Table1324[[#This Row],[ETA Real]])*24</f>
        <v>22.999999999883585</v>
      </c>
    </row>
    <row r="31" spans="1:52" x14ac:dyDescent="0.3">
      <c r="A31" s="1" t="s">
        <v>93</v>
      </c>
      <c r="B31" s="1" t="s">
        <v>60</v>
      </c>
      <c r="C31" s="1">
        <v>9280811</v>
      </c>
      <c r="D31" s="1" t="s">
        <v>45</v>
      </c>
      <c r="E31" s="1">
        <v>500</v>
      </c>
      <c r="G31" s="1">
        <f>Table1324[[#This Row],[Contenedores Embarque]]+Table1324[[#This Row],[Contenedores Desembarque]]</f>
        <v>500</v>
      </c>
      <c r="H31" s="1" t="str" cm="1">
        <f t="array" ref="H31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A</v>
      </c>
      <c r="I31" s="2">
        <v>45643</v>
      </c>
      <c r="J31" s="2">
        <v>45644</v>
      </c>
      <c r="K31" s="7">
        <f>DATEDIF(Table1324[[#This Row],[Creación Solicitud]], Table1324[[#This Row],[Aprobación solicitud?]], "d")</f>
        <v>1</v>
      </c>
      <c r="L31" s="3">
        <v>45649.208333333336</v>
      </c>
      <c r="M31" s="3">
        <v>45648.25</v>
      </c>
      <c r="N31" s="2">
        <v>45645</v>
      </c>
      <c r="W31" s="3">
        <v>45648.583333333336</v>
      </c>
      <c r="X31" s="3">
        <v>45649.958333333336</v>
      </c>
      <c r="Y31" s="2">
        <v>45645</v>
      </c>
      <c r="Z31" s="3">
        <v>45648.677083333336</v>
      </c>
      <c r="AA31" s="3">
        <v>45649.958333333336</v>
      </c>
      <c r="AB31" s="2">
        <v>45648</v>
      </c>
      <c r="AL31" s="3">
        <f>Table1324[[#This Row],[Inicio atención nave 1]]</f>
        <v>45648.583333333336</v>
      </c>
      <c r="AM31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45648.677083333336</v>
      </c>
      <c r="AN31" s="3" t="s">
        <v>39</v>
      </c>
      <c r="AO31" s="3">
        <v>45644.675000000003</v>
      </c>
      <c r="AP31" s="3">
        <v>45648.714583333334</v>
      </c>
      <c r="AQ31" s="11">
        <f>(Table1324[[#This Row],[ETA Inicial]]-Table1324[[#This Row],[ATA]])*24</f>
        <v>11.850000000034925</v>
      </c>
      <c r="AR31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11.150000000023283</v>
      </c>
      <c r="AS31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31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45649.958333333336</v>
      </c>
      <c r="AU31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31" s="7">
        <f>COUNTA(Table1324[[#This Row],[Inicio atención nave 2]], Table1324[[#This Row],[Inicio atención nave 3]], Table1324[[#This Row],[Inicio atención nave 4]], Table1324[[#This Row],[Inicio atención nave 5]])</f>
        <v>1</v>
      </c>
      <c r="AW31" s="7">
        <f>ABS((Table1324[[#This Row],[ETA Planificado]]-Table1324[[#This Row],[ETA Inicial]])*24)</f>
        <v>15</v>
      </c>
      <c r="AX31" s="7">
        <f>ABS((Table1324[[#This Row],[ETA Real]]-Table1324[[#This Row],[ETA Planificado]])*24)</f>
        <v>2.25</v>
      </c>
      <c r="AY31" s="7">
        <f>ABS((Table1324[[#This Row],[ETA Real]]-Table1324[[#This Row],[ETA Inicial]])*24)</f>
        <v>12.75</v>
      </c>
      <c r="AZ31" s="7">
        <f>(Table1324[[#This Row],[Último ETD]]-Table1324[[#This Row],[ETA Real]])*24</f>
        <v>30.75</v>
      </c>
    </row>
    <row r="32" spans="1:52" x14ac:dyDescent="0.3">
      <c r="A32" s="1" t="s">
        <v>94</v>
      </c>
      <c r="B32" s="1" t="s">
        <v>41</v>
      </c>
      <c r="C32" s="1">
        <v>9725706</v>
      </c>
      <c r="D32" s="1" t="s">
        <v>38</v>
      </c>
      <c r="E32" s="1">
        <v>1600</v>
      </c>
      <c r="F32" s="1">
        <v>950</v>
      </c>
      <c r="G32" s="1">
        <f>Table1324[[#This Row],[Contenedores Embarque]]+Table1324[[#This Row],[Contenedores Desembarque]]</f>
        <v>2550</v>
      </c>
      <c r="H32" s="1" t="str" cm="1">
        <f t="array" ref="H32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32" s="2">
        <v>45621</v>
      </c>
      <c r="J32" s="2">
        <v>45642</v>
      </c>
      <c r="K32" s="7">
        <f>DATEDIF(Table1324[[#This Row],[Creación Solicitud]], Table1324[[#This Row],[Aprobación solicitud?]], "d")</f>
        <v>21</v>
      </c>
      <c r="L32" s="3">
        <v>45649.5</v>
      </c>
      <c r="M32" s="3">
        <v>45649.458333333336</v>
      </c>
      <c r="N32" s="2">
        <v>45648</v>
      </c>
      <c r="O32" s="3">
        <v>45649.416666666664</v>
      </c>
      <c r="P32" s="2">
        <v>45650</v>
      </c>
      <c r="W32" s="3">
        <v>45649.5</v>
      </c>
      <c r="X32" s="3">
        <v>45652.916666666664</v>
      </c>
      <c r="Y32" s="2">
        <v>45646</v>
      </c>
      <c r="Z32" s="3">
        <v>45649.458333333336</v>
      </c>
      <c r="AA32" s="3">
        <v>45652.916666666664</v>
      </c>
      <c r="AB32" s="2">
        <v>45647</v>
      </c>
      <c r="AC32" s="3">
        <v>45649.458333333336</v>
      </c>
      <c r="AD32" s="3">
        <v>45652.875</v>
      </c>
      <c r="AE32" s="2">
        <v>45650</v>
      </c>
      <c r="AF32" s="3">
        <v>45649.458333333336</v>
      </c>
      <c r="AG32" s="3">
        <v>45652.916666666664</v>
      </c>
      <c r="AH32" s="2">
        <v>45652</v>
      </c>
      <c r="AL32" s="3">
        <f>Table1324[[#This Row],[Inicio atención nave 1]]</f>
        <v>45649.5</v>
      </c>
      <c r="AM32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45649.458333333336</v>
      </c>
      <c r="AN32" s="3" t="s">
        <v>42</v>
      </c>
      <c r="AO32" s="3">
        <v>45647.512499999997</v>
      </c>
      <c r="AP32" s="3">
        <v>45649.436111111114</v>
      </c>
      <c r="AQ32" s="11">
        <f>(Table1324[[#This Row],[ETA Inicial]]-Table1324[[#This Row],[ATA]])*24</f>
        <v>1.5333333332673647</v>
      </c>
      <c r="AR32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0.46666666679084301</v>
      </c>
      <c r="AS32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32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45652.916666666664</v>
      </c>
      <c r="AU32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32" s="7">
        <f>COUNTA(Table1324[[#This Row],[Inicio atención nave 2]], Table1324[[#This Row],[Inicio atención nave 3]], Table1324[[#This Row],[Inicio atención nave 4]], Table1324[[#This Row],[Inicio atención nave 5]])</f>
        <v>3</v>
      </c>
      <c r="AW32" s="7">
        <f>ABS((Table1324[[#This Row],[ETA Planificado]]-Table1324[[#This Row],[ETA Inicial]])*24)</f>
        <v>0</v>
      </c>
      <c r="AX32" s="7">
        <f>ABS((Table1324[[#This Row],[ETA Real]]-Table1324[[#This Row],[ETA Planificado]])*24)</f>
        <v>0.99999999994179234</v>
      </c>
      <c r="AY32" s="7">
        <f>ABS((Table1324[[#This Row],[ETA Real]]-Table1324[[#This Row],[ETA Inicial]])*24)</f>
        <v>0.99999999994179234</v>
      </c>
      <c r="AZ32" s="7">
        <f>(Table1324[[#This Row],[Último ETD]]-Table1324[[#This Row],[ETA Real]])*24</f>
        <v>82.999999999883585</v>
      </c>
    </row>
    <row r="33" spans="1:52" x14ac:dyDescent="0.3">
      <c r="A33" s="1" t="s">
        <v>95</v>
      </c>
      <c r="B33" s="1" t="s">
        <v>60</v>
      </c>
      <c r="C33" s="1">
        <v>9389708</v>
      </c>
      <c r="D33" s="1" t="s">
        <v>45</v>
      </c>
      <c r="E33" s="1">
        <v>500</v>
      </c>
      <c r="G33" s="1">
        <f>Table1324[[#This Row],[Contenedores Embarque]]+Table1324[[#This Row],[Contenedores Desembarque]]</f>
        <v>500</v>
      </c>
      <c r="H33" s="1" t="str" cm="1">
        <f t="array" ref="H33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A</v>
      </c>
      <c r="I33" s="2">
        <v>45643</v>
      </c>
      <c r="J33" s="2">
        <v>45644</v>
      </c>
      <c r="K33" s="7">
        <f>DATEDIF(Table1324[[#This Row],[Creación Solicitud]], Table1324[[#This Row],[Aprobación solicitud?]], "d")</f>
        <v>1</v>
      </c>
      <c r="L33" s="3">
        <v>45650.208333333336</v>
      </c>
      <c r="W33" s="3">
        <v>45649.5</v>
      </c>
      <c r="X33" s="3">
        <v>45652.916666666664</v>
      </c>
      <c r="Y33" s="2">
        <v>45646</v>
      </c>
      <c r="Z33" s="3">
        <v>45649.458333333336</v>
      </c>
      <c r="AA33" s="3">
        <v>45652.916666666664</v>
      </c>
      <c r="AB33" s="2">
        <v>45647</v>
      </c>
      <c r="AC33" s="3">
        <v>45649.458333333336</v>
      </c>
      <c r="AD33" s="3">
        <v>45652.875</v>
      </c>
      <c r="AE33" s="2">
        <v>45650</v>
      </c>
      <c r="AF33" s="3">
        <v>45649.458333333336</v>
      </c>
      <c r="AG33" s="3">
        <v>45652.916666666664</v>
      </c>
      <c r="AH33" s="2">
        <v>45652</v>
      </c>
      <c r="AL33" s="3">
        <f>Table1324[[#This Row],[Inicio atención nave 1]]</f>
        <v>45649.5</v>
      </c>
      <c r="AM33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45649.458333333336</v>
      </c>
      <c r="AN33" s="3" t="s">
        <v>39</v>
      </c>
      <c r="AO33" s="3">
        <v>45645.397916666669</v>
      </c>
      <c r="AP33" s="3">
        <v>45649.638194444444</v>
      </c>
      <c r="AQ33" s="11">
        <f>(Table1324[[#This Row],[ETA Inicial]]-Table1324[[#This Row],[ATA]])*24</f>
        <v>13.683333333407063</v>
      </c>
      <c r="AR33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-13.683333333407063</v>
      </c>
      <c r="AS33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33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45652.916666666664</v>
      </c>
      <c r="AU33" s="7">
        <f>COUNTA(Table1324[[#This Row],[ETA Modificado]], Table1324[[#This Row],[ETA Modificado 2]], Table1324[[#This Row],[ETA Modificado 3]], Table1324[[#This Row],[ETA Modificado 4]], Table1324[[#This Row],[ETA Modificado 5]])</f>
        <v>0</v>
      </c>
      <c r="AV33" s="7">
        <f>COUNTA(Table1324[[#This Row],[Inicio atención nave 2]], Table1324[[#This Row],[Inicio atención nave 3]], Table1324[[#This Row],[Inicio atención nave 4]], Table1324[[#This Row],[Inicio atención nave 5]])</f>
        <v>3</v>
      </c>
      <c r="AW33" s="7">
        <f>ABS((Table1324[[#This Row],[ETA Planificado]]-Table1324[[#This Row],[ETA Inicial]])*24)</f>
        <v>17.000000000058208</v>
      </c>
      <c r="AX33" s="7">
        <f>ABS((Table1324[[#This Row],[ETA Real]]-Table1324[[#This Row],[ETA Planificado]])*24)</f>
        <v>0.99999999994179234</v>
      </c>
      <c r="AY33" s="7">
        <f>ABS((Table1324[[#This Row],[ETA Real]]-Table1324[[#This Row],[ETA Inicial]])*24)</f>
        <v>18</v>
      </c>
      <c r="AZ33" s="7">
        <f>(Table1324[[#This Row],[Último ETD]]-Table1324[[#This Row],[ETA Real]])*24</f>
        <v>82.999999999883585</v>
      </c>
    </row>
    <row r="34" spans="1:52" x14ac:dyDescent="0.3">
      <c r="A34" s="1" t="s">
        <v>96</v>
      </c>
      <c r="B34" s="1" t="s">
        <v>44</v>
      </c>
      <c r="C34" s="1">
        <v>9729116</v>
      </c>
      <c r="D34" s="1" t="s">
        <v>45</v>
      </c>
      <c r="E34" s="1">
        <v>1600</v>
      </c>
      <c r="F34" s="1">
        <v>1500</v>
      </c>
      <c r="G34" s="1">
        <f>Table1324[[#This Row],[Contenedores Embarque]]+Table1324[[#This Row],[Contenedores Desembarque]]</f>
        <v>3100</v>
      </c>
      <c r="H34" s="1" t="str" cm="1">
        <f t="array" ref="H34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34" s="2">
        <v>45621</v>
      </c>
      <c r="J34" s="2">
        <v>45643</v>
      </c>
      <c r="K34" s="7">
        <f>DATEDIF(Table1324[[#This Row],[Creación Solicitud]], Table1324[[#This Row],[Aprobación solicitud?]], "d")</f>
        <v>22</v>
      </c>
      <c r="L34" s="3">
        <v>45650.458333333336</v>
      </c>
      <c r="M34" s="3">
        <v>45651.291666666664</v>
      </c>
      <c r="N34" s="2">
        <v>45648</v>
      </c>
      <c r="W34" s="3">
        <v>45651.333333333336</v>
      </c>
      <c r="X34" s="3">
        <v>45654.291666666664</v>
      </c>
      <c r="Y34" s="2">
        <v>45650</v>
      </c>
      <c r="Z34" s="3">
        <v>45651.333333333336</v>
      </c>
      <c r="AA34" s="3">
        <v>45654.125</v>
      </c>
      <c r="AB34" s="2">
        <v>45653</v>
      </c>
      <c r="AC34" s="3">
        <v>45651.333333333336</v>
      </c>
      <c r="AD34" s="3">
        <v>45654.395833333336</v>
      </c>
      <c r="AE34" s="2">
        <v>45654</v>
      </c>
      <c r="AL34" s="3">
        <f>Table1324[[#This Row],[Inicio atención nave 1]]</f>
        <v>45651.333333333336</v>
      </c>
      <c r="AM34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45651.333333333336</v>
      </c>
      <c r="AN34" s="3" t="s">
        <v>39</v>
      </c>
      <c r="AO34" s="3">
        <v>45647.538888888892</v>
      </c>
      <c r="AP34" s="3">
        <v>45651.344444444447</v>
      </c>
      <c r="AQ34" s="11">
        <f>(Table1324[[#This Row],[ETA Inicial]]-Table1324[[#This Row],[ATA]])*24</f>
        <v>-21.266666666662786</v>
      </c>
      <c r="AR34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1.2666666667792015</v>
      </c>
      <c r="AS34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2.5000000001164153</v>
      </c>
      <c r="AT34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45654.395833333336</v>
      </c>
      <c r="AU34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34" s="7">
        <f>COUNTA(Table1324[[#This Row],[Inicio atención nave 2]], Table1324[[#This Row],[Inicio atención nave 3]], Table1324[[#This Row],[Inicio atención nave 4]], Table1324[[#This Row],[Inicio atención nave 5]])</f>
        <v>2</v>
      </c>
      <c r="AW34" s="7">
        <f>ABS((Table1324[[#This Row],[ETA Planificado]]-Table1324[[#This Row],[ETA Inicial]])*24)</f>
        <v>21</v>
      </c>
      <c r="AX34" s="7">
        <f>ABS((Table1324[[#This Row],[ETA Real]]-Table1324[[#This Row],[ETA Planificado]])*24)</f>
        <v>0</v>
      </c>
      <c r="AY34" s="7">
        <f>ABS((Table1324[[#This Row],[ETA Real]]-Table1324[[#This Row],[ETA Inicial]])*24)</f>
        <v>21</v>
      </c>
      <c r="AZ34" s="7">
        <f>(Table1324[[#This Row],[Último ETD]]-Table1324[[#This Row],[ETA Real]])*24</f>
        <v>73.5</v>
      </c>
    </row>
    <row r="35" spans="1:52" x14ac:dyDescent="0.3">
      <c r="A35" s="1" t="s">
        <v>97</v>
      </c>
      <c r="B35" s="1" t="s">
        <v>41</v>
      </c>
      <c r="C35" s="1">
        <v>9786762</v>
      </c>
      <c r="D35" s="1" t="s">
        <v>45</v>
      </c>
      <c r="E35" s="1">
        <v>400</v>
      </c>
      <c r="F35" s="1">
        <v>400</v>
      </c>
      <c r="G35" s="1">
        <f>Table1324[[#This Row],[Contenedores Embarque]]+Table1324[[#This Row],[Contenedores Desembarque]]</f>
        <v>800</v>
      </c>
      <c r="H35" s="1" t="str" cm="1">
        <f t="array" ref="H35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35" s="2">
        <v>45621</v>
      </c>
      <c r="J35" s="2">
        <v>45643</v>
      </c>
      <c r="K35" s="7">
        <f>DATEDIF(Table1324[[#This Row],[Creación Solicitud]], Table1324[[#This Row],[Aprobación solicitud?]], "d")</f>
        <v>22</v>
      </c>
      <c r="L35" s="3">
        <v>45650.5</v>
      </c>
      <c r="W35" s="3">
        <v>45651.458333333336</v>
      </c>
      <c r="X35" s="3">
        <v>45652.333333333336</v>
      </c>
      <c r="Y35" s="2">
        <v>45650</v>
      </c>
      <c r="AL35" s="3">
        <f>Table1324[[#This Row],[Inicio atención nave 1]]</f>
        <v>45651.458333333336</v>
      </c>
      <c r="AM35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45651.458333333336</v>
      </c>
      <c r="AN35" s="3" t="s">
        <v>64</v>
      </c>
      <c r="AO35" s="3">
        <v>45646.980555555558</v>
      </c>
      <c r="AP35" s="3">
        <v>45651.470833333333</v>
      </c>
      <c r="AQ35" s="11">
        <f>(Table1324[[#This Row],[ETA Inicial]]-Table1324[[#This Row],[ATA]])*24</f>
        <v>-23.299999999988358</v>
      </c>
      <c r="AR35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23.299999999988358</v>
      </c>
      <c r="AS35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35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45652.333333333336</v>
      </c>
      <c r="AU35" s="7">
        <f>COUNTA(Table1324[[#This Row],[ETA Modificado]], Table1324[[#This Row],[ETA Modificado 2]], Table1324[[#This Row],[ETA Modificado 3]], Table1324[[#This Row],[ETA Modificado 4]], Table1324[[#This Row],[ETA Modificado 5]])</f>
        <v>0</v>
      </c>
      <c r="AV35" s="7">
        <f>COUNTA(Table1324[[#This Row],[Inicio atención nave 2]], Table1324[[#This Row],[Inicio atención nave 3]], Table1324[[#This Row],[Inicio atención nave 4]], Table1324[[#This Row],[Inicio atención nave 5]])</f>
        <v>0</v>
      </c>
      <c r="AW35" s="7">
        <f>ABS((Table1324[[#This Row],[ETA Planificado]]-Table1324[[#This Row],[ETA Inicial]])*24)</f>
        <v>23.000000000058208</v>
      </c>
      <c r="AX35" s="7">
        <f>ABS((Table1324[[#This Row],[ETA Real]]-Table1324[[#This Row],[ETA Planificado]])*24)</f>
        <v>0</v>
      </c>
      <c r="AY35" s="7">
        <f>ABS((Table1324[[#This Row],[ETA Real]]-Table1324[[#This Row],[ETA Inicial]])*24)</f>
        <v>23.000000000058208</v>
      </c>
      <c r="AZ35" s="7">
        <f>(Table1324[[#This Row],[Último ETD]]-Table1324[[#This Row],[ETA Real]])*24</f>
        <v>21</v>
      </c>
    </row>
    <row r="36" spans="1:52" x14ac:dyDescent="0.3">
      <c r="A36" s="1" t="s">
        <v>98</v>
      </c>
      <c r="B36" s="1" t="s">
        <v>85</v>
      </c>
      <c r="C36" s="1">
        <v>9857183</v>
      </c>
      <c r="D36" s="1" t="s">
        <v>38</v>
      </c>
      <c r="E36" s="1">
        <v>1800</v>
      </c>
      <c r="F36" s="1">
        <v>2500</v>
      </c>
      <c r="G36" s="1">
        <f>Table1324[[#This Row],[Contenedores Embarque]]+Table1324[[#This Row],[Contenedores Desembarque]]</f>
        <v>4300</v>
      </c>
      <c r="H36" s="1" t="str" cm="1">
        <f t="array" ref="H36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E</v>
      </c>
      <c r="I36" s="2">
        <v>45642</v>
      </c>
      <c r="J36" s="2">
        <v>45646</v>
      </c>
      <c r="K36" s="7">
        <f>DATEDIF(Table1324[[#This Row],[Creación Solicitud]], Table1324[[#This Row],[Aprobación solicitud?]], "d")</f>
        <v>4</v>
      </c>
      <c r="L36" s="3">
        <v>45652.25</v>
      </c>
      <c r="M36" s="3">
        <v>45654.25</v>
      </c>
      <c r="N36" s="2">
        <v>45650</v>
      </c>
      <c r="O36" s="3">
        <v>45653.25</v>
      </c>
      <c r="P36" s="2">
        <v>45652</v>
      </c>
      <c r="W36" s="3">
        <v>45653.583333333336</v>
      </c>
      <c r="X36" s="3">
        <v>45656.291666666664</v>
      </c>
      <c r="Y36" s="2">
        <v>45650</v>
      </c>
      <c r="Z36" s="3">
        <v>45653.583333333336</v>
      </c>
      <c r="AA36" s="3">
        <v>45655.208333333336</v>
      </c>
      <c r="AB36" s="2">
        <v>45652</v>
      </c>
      <c r="AC36" s="3">
        <v>45653.5625</v>
      </c>
      <c r="AD36" s="3">
        <v>45655.208333333336</v>
      </c>
      <c r="AE36" s="2">
        <v>45653</v>
      </c>
      <c r="AL36" s="3">
        <f>Table1324[[#This Row],[Inicio atención nave 1]]</f>
        <v>45653.583333333336</v>
      </c>
      <c r="AM36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45653.5625</v>
      </c>
      <c r="AN36" s="3" t="s">
        <v>39</v>
      </c>
      <c r="AO36" s="3">
        <v>45649.572222222225</v>
      </c>
      <c r="AP36" s="3">
        <v>45653.582638888889</v>
      </c>
      <c r="AQ36" s="11">
        <f>(Table1324[[#This Row],[ETA Inicial]]-Table1324[[#This Row],[ATA]])*24</f>
        <v>-31.983333333337214</v>
      </c>
      <c r="AR36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7.9833333333372138</v>
      </c>
      <c r="AS36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-25.999999999883585</v>
      </c>
      <c r="AT36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45655.208333333336</v>
      </c>
      <c r="AU36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36" s="7">
        <f>COUNTA(Table1324[[#This Row],[Inicio atención nave 2]], Table1324[[#This Row],[Inicio atención nave 3]], Table1324[[#This Row],[Inicio atención nave 4]], Table1324[[#This Row],[Inicio atención nave 5]])</f>
        <v>2</v>
      </c>
      <c r="AW36" s="7">
        <f>ABS((Table1324[[#This Row],[ETA Planificado]]-Table1324[[#This Row],[ETA Inicial]])*24)</f>
        <v>32.000000000058208</v>
      </c>
      <c r="AX36" s="7">
        <f>ABS((Table1324[[#This Row],[ETA Real]]-Table1324[[#This Row],[ETA Planificado]])*24)</f>
        <v>0.50000000005820766</v>
      </c>
      <c r="AY36" s="7">
        <f>ABS((Table1324[[#This Row],[ETA Real]]-Table1324[[#This Row],[ETA Inicial]])*24)</f>
        <v>31.5</v>
      </c>
      <c r="AZ36" s="7">
        <f>(Table1324[[#This Row],[Último ETD]]-Table1324[[#This Row],[ETA Real]])*24</f>
        <v>39.500000000058208</v>
      </c>
    </row>
    <row r="37" spans="1:52" x14ac:dyDescent="0.3">
      <c r="A37" s="1" t="s">
        <v>99</v>
      </c>
      <c r="B37" s="1" t="s">
        <v>44</v>
      </c>
      <c r="C37" s="1">
        <v>9745500</v>
      </c>
      <c r="D37" s="1" t="s">
        <v>45</v>
      </c>
      <c r="E37" s="1">
        <v>1200</v>
      </c>
      <c r="F37" s="1">
        <v>950</v>
      </c>
      <c r="G37" s="1">
        <f>Table1324[[#This Row],[Contenedores Embarque]]+Table1324[[#This Row],[Contenedores Desembarque]]</f>
        <v>2150</v>
      </c>
      <c r="H37" s="1" t="str" cm="1">
        <f t="array" ref="H37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C</v>
      </c>
      <c r="I37" s="2">
        <v>45625</v>
      </c>
      <c r="J37" s="2">
        <v>45646</v>
      </c>
      <c r="K37" s="7">
        <f>DATEDIF(Table1324[[#This Row],[Creación Solicitud]], Table1324[[#This Row],[Aprobación solicitud?]], "d")</f>
        <v>21</v>
      </c>
      <c r="L37" s="3">
        <v>45652.5</v>
      </c>
      <c r="M37" s="3">
        <v>45652.791666666664</v>
      </c>
      <c r="N37" s="2">
        <v>45650</v>
      </c>
      <c r="W37" s="3">
        <v>45652.75</v>
      </c>
      <c r="X37" s="3">
        <v>45654.166666666664</v>
      </c>
      <c r="Y37" s="2">
        <v>45650</v>
      </c>
      <c r="Z37" s="3">
        <v>45652.833333333336</v>
      </c>
      <c r="AA37" s="3">
        <v>45654.166666666664</v>
      </c>
      <c r="AB37" s="2">
        <v>45652</v>
      </c>
      <c r="AL37" s="3">
        <f>Table1324[[#This Row],[Inicio atención nave 1]]</f>
        <v>45652.75</v>
      </c>
      <c r="AM37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45652.833333333336</v>
      </c>
      <c r="AN37" s="3" t="s">
        <v>39</v>
      </c>
      <c r="AO37" s="3">
        <v>45648.964583333334</v>
      </c>
      <c r="AP37" s="3">
        <v>45652.800000000003</v>
      </c>
      <c r="AQ37" s="11">
        <f>(Table1324[[#This Row],[ETA Inicial]]-Table1324[[#This Row],[ATA]])*24</f>
        <v>-7.2000000000698492</v>
      </c>
      <c r="AR37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0.20000000012805685</v>
      </c>
      <c r="AS37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37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45654.166666666664</v>
      </c>
      <c r="AU37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37" s="7">
        <f>COUNTA(Table1324[[#This Row],[Inicio atención nave 2]], Table1324[[#This Row],[Inicio atención nave 3]], Table1324[[#This Row],[Inicio atención nave 4]], Table1324[[#This Row],[Inicio atención nave 5]])</f>
        <v>1</v>
      </c>
      <c r="AW37" s="7">
        <f>ABS((Table1324[[#This Row],[ETA Planificado]]-Table1324[[#This Row],[ETA Inicial]])*24)</f>
        <v>6</v>
      </c>
      <c r="AX37" s="7">
        <f>ABS((Table1324[[#This Row],[ETA Real]]-Table1324[[#This Row],[ETA Planificado]])*24)</f>
        <v>2.0000000000582077</v>
      </c>
      <c r="AY37" s="7">
        <f>ABS((Table1324[[#This Row],[ETA Real]]-Table1324[[#This Row],[ETA Inicial]])*24)</f>
        <v>8.0000000000582077</v>
      </c>
      <c r="AZ37" s="7">
        <f>(Table1324[[#This Row],[Último ETD]]-Table1324[[#This Row],[ETA Real]])*24</f>
        <v>31.999999999883585</v>
      </c>
    </row>
    <row r="38" spans="1:52" x14ac:dyDescent="0.3">
      <c r="A38" s="1" t="s">
        <v>52</v>
      </c>
      <c r="B38" s="1" t="s">
        <v>41</v>
      </c>
      <c r="C38" s="1">
        <v>9928205</v>
      </c>
      <c r="D38" s="1" t="s">
        <v>38</v>
      </c>
      <c r="E38" s="1">
        <v>500</v>
      </c>
      <c r="F38" s="1">
        <v>450</v>
      </c>
      <c r="G38" s="1">
        <f>Table1324[[#This Row],[Contenedores Embarque]]+Table1324[[#This Row],[Contenedores Desembarque]]</f>
        <v>950</v>
      </c>
      <c r="H38" s="1" t="str" cm="1">
        <f t="array" ref="H38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38" s="2">
        <v>45621</v>
      </c>
      <c r="J38" s="2">
        <v>45646</v>
      </c>
      <c r="K38" s="7">
        <f>DATEDIF(Table1324[[#This Row],[Creación Solicitud]], Table1324[[#This Row],[Aprobación solicitud?]], "d")</f>
        <v>25</v>
      </c>
      <c r="L38" s="3">
        <v>45653.25</v>
      </c>
      <c r="M38" s="3">
        <v>45652.875</v>
      </c>
      <c r="N38" s="2">
        <v>45650</v>
      </c>
      <c r="W38" s="3">
        <v>45652.916666666664</v>
      </c>
      <c r="X38" s="3">
        <v>45654.208333333336</v>
      </c>
      <c r="Y38" s="2">
        <v>45650</v>
      </c>
      <c r="Z38" s="3">
        <v>45652.958333333336</v>
      </c>
      <c r="AA38" s="3">
        <v>45654.208333333336</v>
      </c>
      <c r="AB38" s="2">
        <v>45652</v>
      </c>
      <c r="AL38" s="3">
        <f>Table1324[[#This Row],[Inicio atención nave 1]]</f>
        <v>45652.916666666664</v>
      </c>
      <c r="AM38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45652.958333333336</v>
      </c>
      <c r="AN38" s="3" t="s">
        <v>51</v>
      </c>
      <c r="AO38" s="3">
        <v>45650.243055555555</v>
      </c>
      <c r="AP38" s="3">
        <v>45653.057638888888</v>
      </c>
      <c r="AQ38" s="11">
        <f>(Table1324[[#This Row],[ETA Inicial]]-Table1324[[#This Row],[ATA]])*24</f>
        <v>4.6166666666977108</v>
      </c>
      <c r="AR38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4.3833333333022892</v>
      </c>
      <c r="AS38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38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45654.208333333336</v>
      </c>
      <c r="AU38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38" s="7">
        <f>COUNTA(Table1324[[#This Row],[Inicio atención nave 2]], Table1324[[#This Row],[Inicio atención nave 3]], Table1324[[#This Row],[Inicio atención nave 4]], Table1324[[#This Row],[Inicio atención nave 5]])</f>
        <v>1</v>
      </c>
      <c r="AW38" s="7">
        <f>ABS((Table1324[[#This Row],[ETA Planificado]]-Table1324[[#This Row],[ETA Inicial]])*24)</f>
        <v>8.0000000000582077</v>
      </c>
      <c r="AX38" s="7">
        <f>ABS((Table1324[[#This Row],[ETA Real]]-Table1324[[#This Row],[ETA Planificado]])*24)</f>
        <v>1.0000000001164153</v>
      </c>
      <c r="AY38" s="7">
        <f>ABS((Table1324[[#This Row],[ETA Real]]-Table1324[[#This Row],[ETA Inicial]])*24)</f>
        <v>6.9999999999417923</v>
      </c>
      <c r="AZ38" s="7">
        <f>(Table1324[[#This Row],[Último ETD]]-Table1324[[#This Row],[ETA Real]])*24</f>
        <v>30</v>
      </c>
    </row>
    <row r="39" spans="1:52" x14ac:dyDescent="0.3">
      <c r="A39" s="1" t="s">
        <v>100</v>
      </c>
      <c r="B39" s="1" t="s">
        <v>49</v>
      </c>
      <c r="C39" s="1">
        <v>9224300</v>
      </c>
      <c r="D39" s="1" t="s">
        <v>38</v>
      </c>
      <c r="E39" s="1">
        <v>400</v>
      </c>
      <c r="F39" s="1">
        <v>600</v>
      </c>
      <c r="G39" s="1">
        <f>Table1324[[#This Row],[Contenedores Embarque]]+Table1324[[#This Row],[Contenedores Desembarque]]</f>
        <v>1000</v>
      </c>
      <c r="H39" s="1" t="str" cm="1">
        <f t="array" ref="H39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39" s="2">
        <v>45642</v>
      </c>
      <c r="J39" s="2">
        <v>45647</v>
      </c>
      <c r="K39" s="7">
        <f>DATEDIF(Table1324[[#This Row],[Creación Solicitud]], Table1324[[#This Row],[Aprobación solicitud?]], "d")</f>
        <v>5</v>
      </c>
      <c r="L39" s="3">
        <v>45654.166666666664</v>
      </c>
      <c r="M39" s="3">
        <v>45654.25</v>
      </c>
      <c r="N39" s="2">
        <v>45650</v>
      </c>
      <c r="O39" s="3">
        <v>45654.416666666664</v>
      </c>
      <c r="P39" s="2">
        <v>45653</v>
      </c>
      <c r="W39" s="3">
        <v>45654.25</v>
      </c>
      <c r="X39" s="3">
        <v>45655.541666666664</v>
      </c>
      <c r="Y39" s="2">
        <v>45650</v>
      </c>
      <c r="Z39" s="3">
        <v>45654.25</v>
      </c>
      <c r="AA39" s="3">
        <v>45655.583333333336</v>
      </c>
      <c r="AB39" s="2">
        <v>45652</v>
      </c>
      <c r="AC39" s="3">
        <v>45654.416666666664</v>
      </c>
      <c r="AD39" s="3">
        <v>45655.541666666664</v>
      </c>
      <c r="AE39" s="2">
        <v>45653</v>
      </c>
      <c r="AF39" s="3">
        <v>45654.520833333336</v>
      </c>
      <c r="AG39" s="3">
        <v>45655.541666666664</v>
      </c>
      <c r="AH39" s="2">
        <v>45654</v>
      </c>
      <c r="AL39" s="3">
        <f>Table1324[[#This Row],[Inicio atención nave 1]]</f>
        <v>45654.25</v>
      </c>
      <c r="AM39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45654.520833333336</v>
      </c>
      <c r="AN39" s="3" t="s">
        <v>77</v>
      </c>
      <c r="AO39" s="3">
        <v>45656.515277777777</v>
      </c>
      <c r="AP39" s="3">
        <v>45654.525694444441</v>
      </c>
      <c r="AQ39" s="11">
        <f>(Table1324[[#This Row],[ETA Inicial]]-Table1324[[#This Row],[ATA]])*24</f>
        <v>-8.6166666666395031</v>
      </c>
      <c r="AR39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2.6166666666395031</v>
      </c>
      <c r="AS39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0</v>
      </c>
      <c r="AT39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45655.541666666664</v>
      </c>
      <c r="AU39" s="7">
        <f>COUNTA(Table1324[[#This Row],[ETA Modificado]], Table1324[[#This Row],[ETA Modificado 2]], Table1324[[#This Row],[ETA Modificado 3]], Table1324[[#This Row],[ETA Modificado 4]], Table1324[[#This Row],[ETA Modificado 5]])</f>
        <v>2</v>
      </c>
      <c r="AV39" s="7">
        <f>COUNTA(Table1324[[#This Row],[Inicio atención nave 2]], Table1324[[#This Row],[Inicio atención nave 3]], Table1324[[#This Row],[Inicio atención nave 4]], Table1324[[#This Row],[Inicio atención nave 5]])</f>
        <v>3</v>
      </c>
      <c r="AW39" s="7">
        <f>ABS((Table1324[[#This Row],[ETA Planificado]]-Table1324[[#This Row],[ETA Inicial]])*24)</f>
        <v>2.0000000000582077</v>
      </c>
      <c r="AX39" s="7">
        <f>ABS((Table1324[[#This Row],[ETA Real]]-Table1324[[#This Row],[ETA Planificado]])*24)</f>
        <v>6.5000000000582077</v>
      </c>
      <c r="AY39" s="7">
        <f>ABS((Table1324[[#This Row],[ETA Real]]-Table1324[[#This Row],[ETA Inicial]])*24)</f>
        <v>8.5000000001164153</v>
      </c>
      <c r="AZ39" s="7">
        <f>(Table1324[[#This Row],[Último ETD]]-Table1324[[#This Row],[ETA Real]])*24</f>
        <v>24.499999999883585</v>
      </c>
    </row>
    <row r="40" spans="1:52" x14ac:dyDescent="0.3">
      <c r="A40" s="1" t="s">
        <v>101</v>
      </c>
      <c r="B40" s="1" t="s">
        <v>55</v>
      </c>
      <c r="C40" s="1">
        <v>9731937</v>
      </c>
      <c r="D40" s="1" t="s">
        <v>38</v>
      </c>
      <c r="E40" s="1">
        <v>500</v>
      </c>
      <c r="F40" s="1">
        <v>800</v>
      </c>
      <c r="G40" s="1">
        <f>Table1324[[#This Row],[Contenedores Embarque]]+Table1324[[#This Row],[Contenedores Desembarque]]</f>
        <v>1300</v>
      </c>
      <c r="H40" s="1" t="str" cm="1">
        <f t="array" ref="H40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40" s="2">
        <v>45635</v>
      </c>
      <c r="J40" s="2">
        <v>45647</v>
      </c>
      <c r="K40" s="7">
        <f>DATEDIF(Table1324[[#This Row],[Creación Solicitud]], Table1324[[#This Row],[Aprobación solicitud?]], "d")</f>
        <v>12</v>
      </c>
      <c r="L40" s="3">
        <v>45654.833333333336</v>
      </c>
      <c r="W40" s="3">
        <v>45655.25</v>
      </c>
      <c r="X40" s="3">
        <v>45657.625</v>
      </c>
      <c r="Y40" s="2">
        <v>45652</v>
      </c>
      <c r="Z40" s="3">
        <v>45655.25</v>
      </c>
      <c r="AA40" s="3">
        <v>45657.479166666664</v>
      </c>
      <c r="AB40" s="2">
        <v>45657</v>
      </c>
      <c r="AL40" s="3">
        <f>Table1324[[#This Row],[Inicio atención nave 1]]</f>
        <v>45655.25</v>
      </c>
      <c r="AM40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45655.25</v>
      </c>
      <c r="AN40" s="3" t="s">
        <v>56</v>
      </c>
      <c r="AO40" s="3">
        <v>45654.517361111109</v>
      </c>
      <c r="AP40" s="3">
        <v>45655.294444444444</v>
      </c>
      <c r="AQ40" s="11">
        <f>(Table1324[[#This Row],[ETA Inicial]]-Table1324[[#This Row],[ATA]])*24</f>
        <v>-11.066666666592937</v>
      </c>
      <c r="AR40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11.066666666592937</v>
      </c>
      <c r="AS40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-3.5000000000582077</v>
      </c>
      <c r="AT40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45657.479166666664</v>
      </c>
      <c r="AU40" s="7">
        <f>COUNTA(Table1324[[#This Row],[ETA Modificado]], Table1324[[#This Row],[ETA Modificado 2]], Table1324[[#This Row],[ETA Modificado 3]], Table1324[[#This Row],[ETA Modificado 4]], Table1324[[#This Row],[ETA Modificado 5]])</f>
        <v>0</v>
      </c>
      <c r="AV40" s="7">
        <f>COUNTA(Table1324[[#This Row],[Inicio atención nave 2]], Table1324[[#This Row],[Inicio atención nave 3]], Table1324[[#This Row],[Inicio atención nave 4]], Table1324[[#This Row],[Inicio atención nave 5]])</f>
        <v>1</v>
      </c>
      <c r="AW40" s="7">
        <f>ABS((Table1324[[#This Row],[ETA Planificado]]-Table1324[[#This Row],[ETA Inicial]])*24)</f>
        <v>9.9999999999417923</v>
      </c>
      <c r="AX40" s="7">
        <f>ABS((Table1324[[#This Row],[ETA Real]]-Table1324[[#This Row],[ETA Planificado]])*24)</f>
        <v>0</v>
      </c>
      <c r="AY40" s="7">
        <f>ABS((Table1324[[#This Row],[ETA Real]]-Table1324[[#This Row],[ETA Inicial]])*24)</f>
        <v>9.9999999999417923</v>
      </c>
      <c r="AZ40" s="7">
        <f>(Table1324[[#This Row],[Último ETD]]-Table1324[[#This Row],[ETA Real]])*24</f>
        <v>53.499999999941792</v>
      </c>
    </row>
    <row r="41" spans="1:52" x14ac:dyDescent="0.3">
      <c r="A41" s="1" t="s">
        <v>102</v>
      </c>
      <c r="B41" s="1" t="s">
        <v>41</v>
      </c>
      <c r="C41" s="1">
        <v>9797187</v>
      </c>
      <c r="D41" s="1" t="s">
        <v>45</v>
      </c>
      <c r="E41" s="1">
        <v>400</v>
      </c>
      <c r="F41" s="1">
        <v>350</v>
      </c>
      <c r="G41" s="1">
        <f>Table1324[[#This Row],[Contenedores Embarque]]+Table1324[[#This Row],[Contenedores Desembarque]]</f>
        <v>750</v>
      </c>
      <c r="H41" s="1" t="str" cm="1">
        <f t="array" ref="H41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B</v>
      </c>
      <c r="I41" s="2">
        <v>45621</v>
      </c>
      <c r="J41" s="2">
        <v>45650</v>
      </c>
      <c r="K41" s="7">
        <f>DATEDIF(Table1324[[#This Row],[Creación Solicitud]], Table1324[[#This Row],[Aprobación solicitud?]], "d")</f>
        <v>29</v>
      </c>
      <c r="L41" s="3">
        <v>45657.5</v>
      </c>
      <c r="M41" s="3">
        <v>45658.458333333336</v>
      </c>
      <c r="N41" s="2">
        <v>45656</v>
      </c>
      <c r="W41" s="3">
        <v>45658.458333333336</v>
      </c>
      <c r="X41" s="3">
        <v>45659.291666666664</v>
      </c>
      <c r="Y41" s="2">
        <v>45654</v>
      </c>
      <c r="Z41" s="3">
        <v>45658.458333333336</v>
      </c>
      <c r="AA41" s="3">
        <v>45659.625</v>
      </c>
      <c r="AB41" s="2">
        <v>45657</v>
      </c>
      <c r="AL41" s="3">
        <f>Table1324[[#This Row],[Inicio atención nave 1]]</f>
        <v>45658.458333333336</v>
      </c>
      <c r="AM41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45658.458333333336</v>
      </c>
      <c r="AN41" s="3" t="s">
        <v>64</v>
      </c>
      <c r="AO41" s="3">
        <v>45653.693749999999</v>
      </c>
      <c r="AP41" s="3">
        <v>45658.473611111112</v>
      </c>
      <c r="AQ41" s="11">
        <f>(Table1324[[#This Row],[ETA Inicial]]-Table1324[[#This Row],[ATA]])*24</f>
        <v>-23.366666666697711</v>
      </c>
      <c r="AR41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0.36666666663950309</v>
      </c>
      <c r="AS41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8.0000000000582077</v>
      </c>
      <c r="AT41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45659.625</v>
      </c>
      <c r="AU41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41" s="7">
        <f>COUNTA(Table1324[[#This Row],[Inicio atención nave 2]], Table1324[[#This Row],[Inicio atención nave 3]], Table1324[[#This Row],[Inicio atención nave 4]], Table1324[[#This Row],[Inicio atención nave 5]])</f>
        <v>1</v>
      </c>
      <c r="AW41" s="7">
        <f>ABS((Table1324[[#This Row],[ETA Planificado]]-Table1324[[#This Row],[ETA Inicial]])*24)</f>
        <v>23.000000000058208</v>
      </c>
      <c r="AX41" s="7">
        <f>ABS((Table1324[[#This Row],[ETA Real]]-Table1324[[#This Row],[ETA Planificado]])*24)</f>
        <v>0</v>
      </c>
      <c r="AY41" s="7">
        <f>ABS((Table1324[[#This Row],[ETA Real]]-Table1324[[#This Row],[ETA Inicial]])*24)</f>
        <v>23.000000000058208</v>
      </c>
      <c r="AZ41" s="7">
        <f>(Table1324[[#This Row],[Último ETD]]-Table1324[[#This Row],[ETA Real]])*24</f>
        <v>27.999999999941792</v>
      </c>
    </row>
    <row r="42" spans="1:52" x14ac:dyDescent="0.3">
      <c r="A42" s="1" t="s">
        <v>103</v>
      </c>
      <c r="B42" s="1" t="s">
        <v>49</v>
      </c>
      <c r="C42" s="1">
        <v>9777589</v>
      </c>
      <c r="D42" s="1" t="s">
        <v>45</v>
      </c>
      <c r="E42" s="1">
        <v>1400</v>
      </c>
      <c r="F42" s="1">
        <v>1600</v>
      </c>
      <c r="G42" s="1">
        <f>Table1324[[#This Row],[Contenedores Embarque]]+Table1324[[#This Row],[Contenedores Desembarque]]</f>
        <v>3000</v>
      </c>
      <c r="H42" s="1" t="str" cm="1">
        <f t="array" ref="H42">_xlfn.IFS(Table1324[[#This Row],[Total de Movimientos]]&lt;=500, "A",
   Table1324[[#This Row],[Total de Movimientos]]&lt;=1500, "B",
 Table1324[[#This Row],[Total de Movimientos]]&lt;=2500, "C",
    Table1324[[#This Row],[Total de Movimientos]]&lt;=4000, "D",
    Table1324[[#This Row],[Total de Movimientos]]&gt;4000, "E"
)</f>
        <v>D</v>
      </c>
      <c r="I42" s="2">
        <v>45642</v>
      </c>
      <c r="J42" s="2">
        <v>45650</v>
      </c>
      <c r="K42" s="7">
        <f>DATEDIF(Table1324[[#This Row],[Creación Solicitud]], Table1324[[#This Row],[Aprobación solicitud?]], "d")</f>
        <v>8</v>
      </c>
      <c r="L42" s="3">
        <v>45657.875</v>
      </c>
      <c r="M42" s="3">
        <v>45658.25</v>
      </c>
      <c r="N42" s="2">
        <v>45657</v>
      </c>
      <c r="W42" s="3">
        <v>45658.291666666664</v>
      </c>
      <c r="X42" s="3">
        <v>45661.25</v>
      </c>
      <c r="Y42" s="2">
        <v>45656</v>
      </c>
      <c r="AB42" s="2">
        <v>45657</v>
      </c>
      <c r="AC42" s="3">
        <v>45658.288194444445</v>
      </c>
      <c r="AD42" s="3">
        <v>45660.999305555553</v>
      </c>
      <c r="AE42" s="2">
        <v>45658</v>
      </c>
      <c r="AL42" s="3">
        <f>Table1324[[#This Row],[Inicio atención nave 1]]</f>
        <v>45658.291666666664</v>
      </c>
      <c r="AM42" s="3">
        <f>IF(Table1324[[#This Row],[Inicio atención nave 5]]&lt;&gt;"", Table1324[[#This Row],[Inicio atención nave 5]],
   IF(Table1324[[#This Row],[Inicio atención nave 4]]&lt;&gt;"", Table1324[[#This Row],[Inicio atención nave 4]],
      IF(Table1324[[#This Row],[Inicio atención nave 3]]&lt;&gt;"", Table1324[[#This Row],[Inicio atención nave 3]],
         IF(Table1324[[#This Row],[Inicio atención nave 2]]&lt;&gt;"", Table1324[[#This Row],[Inicio atención nave 2]],
            Table1324[[#This Row],[Inicio atención nave 1]]
         )
      )
   )
)</f>
        <v>45658.288194444445</v>
      </c>
      <c r="AN42" s="3" t="s">
        <v>39</v>
      </c>
      <c r="AO42" s="3">
        <v>45654.984027777777</v>
      </c>
      <c r="AP42" s="3">
        <v>45658.271527777775</v>
      </c>
      <c r="AQ42" s="11">
        <f>(Table1324[[#This Row],[ETA Inicial]]-Table1324[[#This Row],[ATA]])*24</f>
        <v>-9.5166666666045785</v>
      </c>
      <c r="AR42" s="9">
        <f>IF(Table1324[[#This Row],[ETA Modificado 5]]&lt;&gt;"", (Table1324[[#This Row],[ATA]]-Table1324[[#This Row],[ETA Modificado 5]])*24, IF(Table1324[[#This Row],[ETA Modificado 4]]&lt;&gt;"", (Table1324[[#This Row],[ATA]]-Table1324[[#This Row],[ETA Modificado 4]])*24, IF(Table1324[[#This Row],[ETA Modificado 3]]&lt;&gt;"", (Table1324[[#This Row],[ATA]]-Table1324[[#This Row],[ETA Modificado 3]])*24, IF(Table1324[[#This Row],[ETA Modificado 2]]&lt;&gt;"", (Table1324[[#This Row],[ATA]]-Table1324[[#This Row],[ETA Modificado 2]])*24, IF(Table1324[[#This Row],[ETA Modificado]]&lt;&gt;"", (Table1324[[#This Row],[ATA]]-Table1324[[#This Row],[ETA Modificado]])*24,(Table1324[[#This Row],[ATA]]-Table1324[[#This Row],[ETA Inicial]])*24)))))</f>
        <v>0.5166666666045785</v>
      </c>
      <c r="AS42" s="8">
        <f>IF(Table1324[[#This Row],[ETD 5]]&lt;&gt;"", (Table1324[[#This Row],[ETD 5]]-Table1324[[#This Row],[ETD Inicial]])*24,
   IF(Table1324[[#This Row],[ETD 4]]&lt;&gt;"", (Table1324[[#This Row],[ETD 4]]-Table1324[[#This Row],[ETD Inicial]])*24,
   IF(Table1324[[#This Row],[ETD 3]]&lt;&gt;"", (Table1324[[#This Row],[ETD 3]]-Table1324[[#This Row],[ETD Inicial]])*24,
   IF(Table1324[[#This Row],[ETD 2]]&lt;&gt;"", (Table1324[[#This Row],[ETD 2]]-Table1324[[#This Row],[ETD Inicial]])*24,
   (Table1324[[#This Row],[ETD Inicial]]-Table1324[[#This Row],[ETD Inicial]])*24))))</f>
        <v>-6.0166666667209938</v>
      </c>
      <c r="AT42" s="3">
        <f>IF(Table1324[[#This Row],[ETD 5]]&lt;&gt;"", Table1324[[#This Row],[ETD 5]],
   IF(Table1324[[#This Row],[ETD 4]]&lt;&gt;"", Table1324[[#This Row],[ETD 4]],
      IF(Table1324[[#This Row],[ETD 3]]&lt;&gt;"", Table1324[[#This Row],[ETD 3]],
         IF(Table1324[[#This Row],[ETD 2]]&lt;&gt;"", Table1324[[#This Row],[ETD 2]],
            Table1324[[#This Row],[ETD Inicial]]
         )
      )
   )
)</f>
        <v>45660.999305555553</v>
      </c>
      <c r="AU42" s="7">
        <f>COUNTA(Table1324[[#This Row],[ETA Modificado]], Table1324[[#This Row],[ETA Modificado 2]], Table1324[[#This Row],[ETA Modificado 3]], Table1324[[#This Row],[ETA Modificado 4]], Table1324[[#This Row],[ETA Modificado 5]])</f>
        <v>1</v>
      </c>
      <c r="AV42" s="7">
        <f>COUNTA(Table1324[[#This Row],[Inicio atención nave 2]], Table1324[[#This Row],[Inicio atención nave 3]], Table1324[[#This Row],[Inicio atención nave 4]], Table1324[[#This Row],[Inicio atención nave 5]])</f>
        <v>1</v>
      </c>
      <c r="AW42" s="7">
        <f>ABS((Table1324[[#This Row],[ETA Planificado]]-Table1324[[#This Row],[ETA Inicial]])*24)</f>
        <v>9.9999999999417923</v>
      </c>
      <c r="AX42" s="7">
        <f>ABS((Table1324[[#This Row],[ETA Real]]-Table1324[[#This Row],[ETA Planificado]])*24)</f>
        <v>8.3333333255723119E-2</v>
      </c>
      <c r="AY42" s="7">
        <f>ABS((Table1324[[#This Row],[ETA Real]]-Table1324[[#This Row],[ETA Inicial]])*24)</f>
        <v>9.9166666666860692</v>
      </c>
      <c r="AZ42" s="7">
        <f>(Table1324[[#This Row],[Último ETD]]-Table1324[[#This Row],[ETA Real]])*24</f>
        <v>65.066666666592937</v>
      </c>
    </row>
    <row r="43" spans="1:52" x14ac:dyDescent="0.3">
      <c r="I43" s="5"/>
    </row>
    <row r="44" spans="1:52" x14ac:dyDescent="0.3">
      <c r="I44" s="5"/>
      <c r="AW44" s="1">
        <f>MIN(Table1324[ETA Inicial vs Planificado])</f>
        <v>0</v>
      </c>
      <c r="AX44" s="1">
        <f>MAX(Table1324[ETA Planificado vs Real])</f>
        <v>24</v>
      </c>
      <c r="AY44" s="1">
        <f>MAX(Table1324[ETA Inicial vs Real])</f>
        <v>69.216666666674428</v>
      </c>
      <c r="AZ44" s="1">
        <f>MAX(Table1324[Tiempo puerto])</f>
        <v>89.000000000058208</v>
      </c>
    </row>
    <row r="56" spans="1:1" x14ac:dyDescent="0.3">
      <c r="A56" s="6" t="s">
        <v>104</v>
      </c>
    </row>
  </sheetData>
  <phoneticPr fontId="1" type="noConversion"/>
  <pageMargins left="0.7" right="0.7" top="0.75" bottom="0.75" header="0.3" footer="0.3"/>
  <ignoredErrors>
    <ignoredError sqref="AX2:AX13 AV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2F6F5-63DA-4A60-BFBF-B89172F1B76D}">
  <dimension ref="A1:AZ39"/>
  <sheetViews>
    <sheetView workbookViewId="0">
      <selection activeCell="AB4" sqref="AB4"/>
    </sheetView>
  </sheetViews>
  <sheetFormatPr defaultRowHeight="14.4" x14ac:dyDescent="0.3"/>
  <cols>
    <col min="1" max="1" width="17" bestFit="1" customWidth="1"/>
    <col min="2" max="2" width="17" hidden="1" customWidth="1"/>
    <col min="3" max="3" width="8.77734375" hidden="1" customWidth="1"/>
    <col min="4" max="4" width="12.77734375" hidden="1" customWidth="1"/>
    <col min="5" max="5" width="26.21875" hidden="1" customWidth="1"/>
    <col min="6" max="6" width="29.33203125" hidden="1" customWidth="1"/>
    <col min="7" max="7" width="23.21875" hidden="1" customWidth="1"/>
    <col min="8" max="8" width="27.6640625" hidden="1" customWidth="1"/>
    <col min="9" max="9" width="20.88671875" hidden="1" customWidth="1"/>
    <col min="10" max="10" width="23.77734375" hidden="1" customWidth="1"/>
    <col min="11" max="11" width="25.109375" hidden="1" customWidth="1"/>
    <col min="12" max="12" width="15.33203125" hidden="1" customWidth="1"/>
    <col min="13" max="13" width="18.21875" hidden="1" customWidth="1"/>
    <col min="14" max="14" width="25.109375" hidden="1" customWidth="1"/>
    <col min="15" max="15" width="19.5546875" hidden="1" customWidth="1"/>
    <col min="16" max="16" width="26.5546875" hidden="1" customWidth="1"/>
    <col min="17" max="17" width="19.5546875" hidden="1" customWidth="1"/>
    <col min="18" max="18" width="26.5546875" hidden="1" customWidth="1"/>
    <col min="19" max="19" width="19.5546875" hidden="1" customWidth="1"/>
    <col min="20" max="20" width="26.5546875" hidden="1" customWidth="1"/>
    <col min="21" max="21" width="19.5546875" hidden="1" customWidth="1"/>
    <col min="22" max="22" width="26.5546875" hidden="1" customWidth="1"/>
    <col min="23" max="23" width="23.44140625" bestFit="1" customWidth="1"/>
    <col min="24" max="24" width="15.33203125" bestFit="1" customWidth="1"/>
    <col min="25" max="25" width="18.77734375" bestFit="1" customWidth="1"/>
    <col min="26" max="26" width="23.44140625" bestFit="1" customWidth="1"/>
    <col min="27" max="27" width="15.33203125" bestFit="1" customWidth="1"/>
    <col min="28" max="28" width="23.33203125" bestFit="1" customWidth="1"/>
    <col min="29" max="29" width="23.44140625" bestFit="1" customWidth="1"/>
    <col min="30" max="30" width="15.33203125" bestFit="1" customWidth="1"/>
    <col min="31" max="31" width="23.33203125" bestFit="1" customWidth="1"/>
    <col min="32" max="32" width="23.44140625" bestFit="1" customWidth="1"/>
    <col min="33" max="33" width="9.88671875" bestFit="1" customWidth="1"/>
    <col min="34" max="34" width="23.33203125" bestFit="1" customWidth="1"/>
    <col min="35" max="35" width="23.44140625" bestFit="1" customWidth="1"/>
    <col min="36" max="36" width="9.88671875" bestFit="1" customWidth="1"/>
    <col min="37" max="37" width="23.33203125" bestFit="1" customWidth="1"/>
    <col min="38" max="38" width="18.33203125" bestFit="1" customWidth="1"/>
    <col min="39" max="39" width="14.33203125" bestFit="1" customWidth="1"/>
    <col min="40" max="40" width="18" bestFit="1" customWidth="1"/>
    <col min="41" max="41" width="14.33203125" bestFit="1" customWidth="1"/>
    <col min="42" max="42" width="8.5546875" bestFit="1" customWidth="1"/>
    <col min="43" max="43" width="20.6640625" bestFit="1" customWidth="1"/>
    <col min="44" max="44" width="26.21875" bestFit="1" customWidth="1"/>
    <col min="45" max="45" width="20.88671875" bestFit="1" customWidth="1"/>
    <col min="46" max="46" width="14.5546875" bestFit="1" customWidth="1"/>
    <col min="47" max="47" width="21.6640625" bestFit="1" customWidth="1"/>
    <col min="48" max="48" width="34.5546875" bestFit="1" customWidth="1"/>
    <col min="49" max="49" width="26.21875" bestFit="1" customWidth="1"/>
    <col min="50" max="50" width="24.5546875" bestFit="1" customWidth="1"/>
    <col min="51" max="51" width="20.21875" bestFit="1" customWidth="1"/>
    <col min="52" max="52" width="17.5546875" bestFit="1" customWidth="1"/>
  </cols>
  <sheetData>
    <row r="1" spans="1:52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110</v>
      </c>
      <c r="H1" s="13" t="s">
        <v>111</v>
      </c>
      <c r="I1" s="14" t="s">
        <v>6</v>
      </c>
      <c r="J1" s="14" t="s">
        <v>7</v>
      </c>
      <c r="K1" s="15" t="s">
        <v>105</v>
      </c>
      <c r="L1" s="16" t="s">
        <v>8</v>
      </c>
      <c r="M1" s="16" t="s">
        <v>9</v>
      </c>
      <c r="N1" s="14" t="s">
        <v>10</v>
      </c>
      <c r="O1" s="16" t="s">
        <v>11</v>
      </c>
      <c r="P1" s="14" t="s">
        <v>12</v>
      </c>
      <c r="Q1" s="16" t="s">
        <v>13</v>
      </c>
      <c r="R1" s="14" t="s">
        <v>14</v>
      </c>
      <c r="S1" s="14" t="s">
        <v>15</v>
      </c>
      <c r="T1" s="14" t="s">
        <v>16</v>
      </c>
      <c r="U1" s="14" t="s">
        <v>17</v>
      </c>
      <c r="V1" s="14" t="s">
        <v>18</v>
      </c>
      <c r="W1" s="16" t="s">
        <v>19</v>
      </c>
      <c r="X1" s="16" t="s">
        <v>20</v>
      </c>
      <c r="Y1" s="14" t="s">
        <v>21</v>
      </c>
      <c r="Z1" s="16" t="s">
        <v>22</v>
      </c>
      <c r="AA1" s="16" t="s">
        <v>23</v>
      </c>
      <c r="AB1" s="14" t="s">
        <v>24</v>
      </c>
      <c r="AC1" s="16" t="s">
        <v>25</v>
      </c>
      <c r="AD1" s="16" t="s">
        <v>26</v>
      </c>
      <c r="AE1" s="14" t="s">
        <v>27</v>
      </c>
      <c r="AF1" s="16" t="s">
        <v>28</v>
      </c>
      <c r="AG1" s="16" t="s">
        <v>29</v>
      </c>
      <c r="AH1" s="14" t="s">
        <v>30</v>
      </c>
      <c r="AI1" s="16" t="s">
        <v>31</v>
      </c>
      <c r="AJ1" s="16" t="s">
        <v>32</v>
      </c>
      <c r="AK1" s="14" t="s">
        <v>33</v>
      </c>
      <c r="AL1" s="14" t="s">
        <v>112</v>
      </c>
      <c r="AM1" s="14" t="s">
        <v>113</v>
      </c>
      <c r="AN1" s="13" t="s">
        <v>34</v>
      </c>
      <c r="AO1" s="16" t="s">
        <v>35</v>
      </c>
      <c r="AP1" s="16" t="s">
        <v>36</v>
      </c>
      <c r="AQ1" s="16" t="s">
        <v>106</v>
      </c>
      <c r="AR1" s="13" t="s">
        <v>109</v>
      </c>
      <c r="AS1" s="13" t="s">
        <v>107</v>
      </c>
      <c r="AT1" s="13" t="s">
        <v>119</v>
      </c>
      <c r="AU1" s="13" t="s">
        <v>108</v>
      </c>
      <c r="AV1" s="13" t="s">
        <v>117</v>
      </c>
      <c r="AW1" s="13" t="s">
        <v>114</v>
      </c>
      <c r="AX1" s="13" t="s">
        <v>115</v>
      </c>
      <c r="AY1" s="13" t="s">
        <v>116</v>
      </c>
      <c r="AZ1" s="17" t="s">
        <v>118</v>
      </c>
    </row>
    <row r="2" spans="1:52" x14ac:dyDescent="0.3">
      <c r="A2" s="18" t="s">
        <v>120</v>
      </c>
      <c r="B2" s="1" t="s">
        <v>70</v>
      </c>
      <c r="C2" s="19">
        <v>9806055</v>
      </c>
      <c r="D2" s="19" t="s">
        <v>38</v>
      </c>
      <c r="E2" s="19">
        <v>2300</v>
      </c>
      <c r="F2" s="19">
        <v>1500</v>
      </c>
      <c r="G2" s="1">
        <f>Table2[[#This Row],[Contenedores Embarque]]+Table2[[#This Row],[Contenedores Desembarque]]</f>
        <v>3800</v>
      </c>
      <c r="H2" s="1" t="str" cm="1">
        <f t="array" ref="H2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D</v>
      </c>
      <c r="I2" s="20">
        <v>45653</v>
      </c>
      <c r="J2" s="21">
        <v>45653</v>
      </c>
      <c r="K2" s="7">
        <f>DATEDIF(Table2[[#This Row],[Creación Solicitud]], Table2[[#This Row],[Aprobación solicitud?]], "d")</f>
        <v>0</v>
      </c>
      <c r="L2" s="22">
        <v>45659.5</v>
      </c>
      <c r="M2" s="3">
        <v>45660.833333333336</v>
      </c>
      <c r="N2" s="2">
        <v>45656</v>
      </c>
      <c r="O2" s="3">
        <v>45661.145833333336</v>
      </c>
      <c r="P2" s="2">
        <v>45659</v>
      </c>
      <c r="Q2" s="3"/>
      <c r="R2" s="2"/>
      <c r="S2" s="2"/>
      <c r="T2" s="2"/>
      <c r="U2" s="2"/>
      <c r="V2" s="2"/>
      <c r="W2" s="3">
        <v>45660.875</v>
      </c>
      <c r="X2" s="3">
        <v>45663.5</v>
      </c>
      <c r="Y2" s="2">
        <v>45656</v>
      </c>
      <c r="Z2" s="3">
        <v>45660.875</v>
      </c>
      <c r="AA2" s="3">
        <v>45663.583333333336</v>
      </c>
      <c r="AB2" s="2">
        <v>45659</v>
      </c>
      <c r="AC2" s="3">
        <v>45661.166666666664</v>
      </c>
      <c r="AD2" s="3">
        <v>45663.625</v>
      </c>
      <c r="AE2" s="2">
        <v>45660</v>
      </c>
      <c r="AF2" s="3"/>
      <c r="AG2" s="3"/>
      <c r="AH2" s="2"/>
      <c r="AI2" s="3"/>
      <c r="AJ2" s="3"/>
      <c r="AK2" s="2"/>
      <c r="AL2" s="3">
        <f>Table2[[#This Row],[Inicio atención nave 1]]</f>
        <v>45660.875</v>
      </c>
      <c r="AM2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45661.166666666664</v>
      </c>
      <c r="AN2" s="3"/>
      <c r="AO2" s="3"/>
      <c r="AP2" s="3"/>
      <c r="AQ2" s="11">
        <f>(Table2[[#This Row],[ETA Inicial]]-Table2[[#This Row],[ATA]])*24</f>
        <v>1095828</v>
      </c>
      <c r="AR2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-1095867.5</v>
      </c>
      <c r="AS2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3</v>
      </c>
      <c r="AT2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45663.625</v>
      </c>
      <c r="AU2" s="7">
        <f>COUNTA(Table2[[#This Row],[ETA Modificado]],Table2[[#This Row],[ETA Modificado 2]], Table2[[#This Row],[ETA Modificado 3]], Table2[[#This Row],[ETA Modificado 4]], Table2[[#This Row],[ETA Modificado 5]])</f>
        <v>2</v>
      </c>
      <c r="AV2" s="7">
        <f>COUNTA(Table2[[#This Row],[Inicio atención nave 2]], Table2[[#This Row],[Inicio atención nave 3]], Table2[[#This Row],[Inicio atención nave 4]], Table2[[#This Row],[Inicio atención nave 5]])</f>
        <v>2</v>
      </c>
      <c r="AW2" s="10">
        <f>ABS((Table2[[#This Row],[ETA Planificado]]-Table2[[#This Row],[ETA Inicial]])*24)</f>
        <v>33</v>
      </c>
      <c r="AX2" s="7">
        <f>ABS((Table2[[#This Row],[ETA Real]]-Table2[[#This Row],[ETA Planificado]])*24)</f>
        <v>6.9999999999417923</v>
      </c>
      <c r="AY2" s="7">
        <f>ABS((Table2[[#This Row],[ETA Real]]-Table2[[#This Row],[ETA Inicial]])*24)</f>
        <v>39.999999999941792</v>
      </c>
      <c r="AZ2" s="7">
        <f>(Table2[[#This Row],[Último ETD]]-Table2[[#This Row],[ETA Real]])*24</f>
        <v>59.000000000058208</v>
      </c>
    </row>
    <row r="3" spans="1:52" x14ac:dyDescent="0.3">
      <c r="A3" s="18" t="s">
        <v>76</v>
      </c>
      <c r="B3" s="1" t="s">
        <v>49</v>
      </c>
      <c r="C3" s="19">
        <v>9193317</v>
      </c>
      <c r="D3" s="19" t="s">
        <v>38</v>
      </c>
      <c r="E3" s="19">
        <v>400</v>
      </c>
      <c r="F3" s="19">
        <v>600</v>
      </c>
      <c r="G3" s="1">
        <f>Table2[[#This Row],[Contenedores Embarque]]+Table2[[#This Row],[Contenedores Desembarque]]</f>
        <v>1000</v>
      </c>
      <c r="H3" s="1" t="str" cm="1">
        <f t="array" ref="H3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B</v>
      </c>
      <c r="I3" s="20">
        <v>45652</v>
      </c>
      <c r="J3" s="21">
        <v>45653</v>
      </c>
      <c r="K3" s="7">
        <f>DATEDIF(Table2[[#This Row],[Creación Solicitud]], Table2[[#This Row],[Aprobación solicitud?]], "d")</f>
        <v>1</v>
      </c>
      <c r="L3" s="22">
        <v>45660.166666666664</v>
      </c>
      <c r="M3" s="3">
        <v>45660.875</v>
      </c>
      <c r="N3" s="2">
        <v>45657</v>
      </c>
      <c r="O3" s="3">
        <v>45661.25</v>
      </c>
      <c r="P3" s="2">
        <v>45659</v>
      </c>
      <c r="Q3" s="3">
        <v>45661.191666666666</v>
      </c>
      <c r="R3" s="2"/>
      <c r="S3" s="2"/>
      <c r="T3" s="2"/>
      <c r="U3" s="2"/>
      <c r="V3" s="2"/>
      <c r="W3" s="3">
        <v>45660.25</v>
      </c>
      <c r="X3" s="3">
        <v>45661.541666666664</v>
      </c>
      <c r="Y3" s="2">
        <v>45656</v>
      </c>
      <c r="Z3" s="3">
        <v>45660.958333333336</v>
      </c>
      <c r="AA3" s="3">
        <v>45662.25</v>
      </c>
      <c r="AB3" s="2">
        <v>45688</v>
      </c>
      <c r="AC3" s="3"/>
      <c r="AD3" s="3"/>
      <c r="AE3" s="2"/>
      <c r="AF3" s="3"/>
      <c r="AG3" s="3"/>
      <c r="AH3" s="2"/>
      <c r="AI3" s="3"/>
      <c r="AJ3" s="3"/>
      <c r="AK3" s="2"/>
      <c r="AL3" s="3">
        <f>Table2[[#This Row],[Inicio atención nave 1]]</f>
        <v>45660.25</v>
      </c>
      <c r="AM3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45660.958333333336</v>
      </c>
      <c r="AN3" s="3"/>
      <c r="AO3" s="3"/>
      <c r="AP3" s="3"/>
      <c r="AQ3" s="11">
        <f>(Table2[[#This Row],[ETA Inicial]]-Table2[[#This Row],[ATA]])*24</f>
        <v>1095844</v>
      </c>
      <c r="AR3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-1095868.6000000001</v>
      </c>
      <c r="AS3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17.000000000058208</v>
      </c>
      <c r="AT3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45662.25</v>
      </c>
      <c r="AU3" s="7">
        <f>COUNTA(Table2[[#This Row],[ETA Modificado]],Table2[[#This Row],[ETA Modificado 2]], Table2[[#This Row],[ETA Modificado 3]], Table2[[#This Row],[ETA Modificado 4]], Table2[[#This Row],[ETA Modificado 5]])</f>
        <v>3</v>
      </c>
      <c r="AV3" s="7">
        <f>COUNTA(Table2[[#This Row],[Inicio atención nave 2]], Table2[[#This Row],[Inicio atención nave 3]], Table2[[#This Row],[Inicio atención nave 4]], Table2[[#This Row],[Inicio atención nave 5]])</f>
        <v>1</v>
      </c>
      <c r="AW3" s="10">
        <f>ABS((Table2[[#This Row],[ETA Planificado]]-Table2[[#This Row],[ETA Inicial]])*24)</f>
        <v>2.0000000000582077</v>
      </c>
      <c r="AX3" s="7">
        <f>ABS((Table2[[#This Row],[ETA Real]]-Table2[[#This Row],[ETA Planificado]])*24)</f>
        <v>17.000000000058208</v>
      </c>
      <c r="AY3" s="7">
        <f>ABS((Table2[[#This Row],[ETA Real]]-Table2[[#This Row],[ETA Inicial]])*24)</f>
        <v>19.000000000116415</v>
      </c>
      <c r="AZ3" s="7">
        <f>(Table2[[#This Row],[Último ETD]]-Table2[[#This Row],[ETA Real]])*24</f>
        <v>30.999999999941792</v>
      </c>
    </row>
    <row r="4" spans="1:52" x14ac:dyDescent="0.3">
      <c r="A4" s="18" t="s">
        <v>92</v>
      </c>
      <c r="B4" s="1" t="s">
        <v>66</v>
      </c>
      <c r="C4" s="19">
        <v>9191632</v>
      </c>
      <c r="D4" s="19" t="s">
        <v>38</v>
      </c>
      <c r="E4" s="19">
        <v>120</v>
      </c>
      <c r="F4" s="19">
        <v>150</v>
      </c>
      <c r="G4" s="1">
        <f>Table2[[#This Row],[Contenedores Embarque]]+Table2[[#This Row],[Contenedores Desembarque]]</f>
        <v>270</v>
      </c>
      <c r="H4" s="1" t="str" cm="1">
        <f t="array" ref="H4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A</v>
      </c>
      <c r="I4" s="20">
        <v>45649</v>
      </c>
      <c r="J4" s="21">
        <v>45653</v>
      </c>
      <c r="K4" s="7">
        <f>DATEDIF(Table2[[#This Row],[Creación Solicitud]], Table2[[#This Row],[Aprobación solicitud?]], "d")</f>
        <v>4</v>
      </c>
      <c r="L4" s="22">
        <v>45660.583333333336</v>
      </c>
      <c r="M4" s="3">
        <v>45664.583333333336</v>
      </c>
      <c r="N4" s="2">
        <v>45657</v>
      </c>
      <c r="O4" s="3"/>
      <c r="P4" s="2"/>
      <c r="Q4" s="3"/>
      <c r="R4" s="2"/>
      <c r="S4" s="2"/>
      <c r="T4" s="2"/>
      <c r="U4" s="2"/>
      <c r="V4" s="2"/>
      <c r="W4" s="3"/>
      <c r="X4" s="3"/>
      <c r="Y4" s="2"/>
      <c r="Z4" s="3"/>
      <c r="AA4" s="3"/>
      <c r="AB4" s="2"/>
      <c r="AC4" s="3"/>
      <c r="AD4" s="3"/>
      <c r="AE4" s="2"/>
      <c r="AF4" s="3"/>
      <c r="AG4" s="3"/>
      <c r="AH4" s="2"/>
      <c r="AI4" s="3"/>
      <c r="AJ4" s="3"/>
      <c r="AK4" s="2"/>
      <c r="AL4" s="3">
        <f>Table2[[#This Row],[Inicio atención nave 1]]</f>
        <v>0</v>
      </c>
      <c r="AM4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4" s="3"/>
      <c r="AO4" s="3"/>
      <c r="AP4" s="3"/>
      <c r="AQ4" s="11">
        <f>(Table2[[#This Row],[ETA Inicial]]-Table2[[#This Row],[ATA]])*24</f>
        <v>1095854</v>
      </c>
      <c r="AR4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-1095950</v>
      </c>
      <c r="AS4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4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4" s="7">
        <f>COUNTA(Table2[[#This Row],[ETA Modificado]],Table2[[#This Row],[ETA Modificado 2]], Table2[[#This Row],[ETA Modificado 3]], Table2[[#This Row],[ETA Modificado 4]], Table2[[#This Row],[ETA Modificado 5]])</f>
        <v>1</v>
      </c>
      <c r="AV4" s="7">
        <f>COUNTA(Table2[[#This Row],[Inicio atención nave 2]], Table2[[#This Row],[Inicio atención nave 3]], Table2[[#This Row],[Inicio atención nave 4]], Table2[[#This Row],[Inicio atención nave 5]])</f>
        <v>0</v>
      </c>
      <c r="AW4" s="10">
        <f>ABS((Table2[[#This Row],[ETA Planificado]]-Table2[[#This Row],[ETA Inicial]])*24)</f>
        <v>1095854</v>
      </c>
      <c r="AX4" s="7">
        <f>ABS((Table2[[#This Row],[ETA Real]]-Table2[[#This Row],[ETA Planificado]])*24)</f>
        <v>0</v>
      </c>
      <c r="AY4" s="7">
        <f>ABS((Table2[[#This Row],[ETA Real]]-Table2[[#This Row],[ETA Inicial]])*24)</f>
        <v>1095854</v>
      </c>
      <c r="AZ4" s="7">
        <f>(Table2[[#This Row],[Último ETD]]-Table2[[#This Row],[ETA Real]])*24</f>
        <v>0</v>
      </c>
    </row>
    <row r="5" spans="1:52" x14ac:dyDescent="0.3">
      <c r="A5" s="18" t="s">
        <v>50</v>
      </c>
      <c r="B5" s="1" t="s">
        <v>41</v>
      </c>
      <c r="C5" s="19">
        <v>9943085</v>
      </c>
      <c r="D5" s="19" t="s">
        <v>38</v>
      </c>
      <c r="E5" s="19">
        <v>450</v>
      </c>
      <c r="F5" s="19">
        <v>400</v>
      </c>
      <c r="G5" s="1">
        <f>Table2[[#This Row],[Contenedores Embarque]]+Table2[[#This Row],[Contenedores Desembarque]]</f>
        <v>850</v>
      </c>
      <c r="H5" s="1" t="str" cm="1">
        <f t="array" ref="H5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B</v>
      </c>
      <c r="I5" s="20">
        <v>45648</v>
      </c>
      <c r="J5" s="21">
        <v>45654</v>
      </c>
      <c r="K5" s="7">
        <f>DATEDIF(Table2[[#This Row],[Creación Solicitud]], Table2[[#This Row],[Aprobación solicitud?]], "d")</f>
        <v>6</v>
      </c>
      <c r="L5" s="22">
        <v>45661.25</v>
      </c>
      <c r="M5" s="3">
        <v>45659.875</v>
      </c>
      <c r="N5" s="2">
        <v>45659</v>
      </c>
      <c r="O5" s="3">
        <v>45660.875</v>
      </c>
      <c r="P5" s="2">
        <v>45659</v>
      </c>
      <c r="Q5" s="3">
        <v>45660.912499999999</v>
      </c>
      <c r="R5" s="2">
        <v>45661</v>
      </c>
      <c r="S5" s="2"/>
      <c r="T5" s="2"/>
      <c r="U5" s="2"/>
      <c r="V5" s="2"/>
      <c r="W5" s="3">
        <v>45660.875</v>
      </c>
      <c r="X5" s="3">
        <v>45661.958333333336</v>
      </c>
      <c r="Y5" s="2">
        <v>45659</v>
      </c>
      <c r="Z5" s="3"/>
      <c r="AA5" s="3"/>
      <c r="AB5" s="2"/>
      <c r="AC5" s="3"/>
      <c r="AD5" s="3"/>
      <c r="AE5" s="2"/>
      <c r="AF5" s="3"/>
      <c r="AG5" s="3"/>
      <c r="AH5" s="2"/>
      <c r="AI5" s="3"/>
      <c r="AJ5" s="3"/>
      <c r="AK5" s="2"/>
      <c r="AL5" s="3">
        <f>Table2[[#This Row],[Inicio atención nave 1]]</f>
        <v>45660.875</v>
      </c>
      <c r="AM5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45660.875</v>
      </c>
      <c r="AN5" s="3"/>
      <c r="AO5" s="3"/>
      <c r="AP5" s="3"/>
      <c r="AQ5" s="11">
        <f>(Table2[[#This Row],[ETA Inicial]]-Table2[[#This Row],[ATA]])*24</f>
        <v>1095870</v>
      </c>
      <c r="AR5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-1095861.8999999999</v>
      </c>
      <c r="AS5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5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45661.958333333336</v>
      </c>
      <c r="AU5" s="7">
        <f>COUNTA(Table2[[#This Row],[ETA Modificado]],Table2[[#This Row],[ETA Modificado 2]], Table2[[#This Row],[ETA Modificado 3]], Table2[[#This Row],[ETA Modificado 4]], Table2[[#This Row],[ETA Modificado 5]])</f>
        <v>3</v>
      </c>
      <c r="AV5" s="7">
        <f>COUNTA(Table2[[#This Row],[Inicio atención nave 2]], Table2[[#This Row],[Inicio atención nave 3]], Table2[[#This Row],[Inicio atención nave 4]], Table2[[#This Row],[Inicio atención nave 5]])</f>
        <v>0</v>
      </c>
      <c r="AW5" s="10">
        <f>ABS((Table2[[#This Row],[ETA Planificado]]-Table2[[#This Row],[ETA Inicial]])*24)</f>
        <v>9</v>
      </c>
      <c r="AX5" s="7">
        <f>ABS((Table2[[#This Row],[ETA Real]]-Table2[[#This Row],[ETA Planificado]])*24)</f>
        <v>0</v>
      </c>
      <c r="AY5" s="7">
        <f>ABS((Table2[[#This Row],[ETA Real]]-Table2[[#This Row],[ETA Inicial]])*24)</f>
        <v>9</v>
      </c>
      <c r="AZ5" s="7">
        <f>(Table2[[#This Row],[Último ETD]]-Table2[[#This Row],[ETA Real]])*24</f>
        <v>26.000000000058208</v>
      </c>
    </row>
    <row r="6" spans="1:52" x14ac:dyDescent="0.3">
      <c r="A6" s="18" t="s">
        <v>121</v>
      </c>
      <c r="B6" s="1" t="s">
        <v>55</v>
      </c>
      <c r="C6" s="19">
        <v>9285976</v>
      </c>
      <c r="D6" s="19" t="s">
        <v>38</v>
      </c>
      <c r="E6" s="19">
        <v>500</v>
      </c>
      <c r="F6" s="19">
        <v>800</v>
      </c>
      <c r="G6" s="1">
        <f>Table2[[#This Row],[Contenedores Embarque]]+Table2[[#This Row],[Contenedores Desembarque]]</f>
        <v>1300</v>
      </c>
      <c r="H6" s="1" t="str" cm="1">
        <f t="array" ref="H6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B</v>
      </c>
      <c r="I6" s="20">
        <v>45652</v>
      </c>
      <c r="J6" s="21">
        <v>45654</v>
      </c>
      <c r="K6" s="7">
        <f>DATEDIF(Table2[[#This Row],[Creación Solicitud]], Table2[[#This Row],[Aprobación solicitud?]], "d")</f>
        <v>2</v>
      </c>
      <c r="L6" s="22">
        <v>45661.833333333336</v>
      </c>
      <c r="M6" s="3">
        <v>45663.583333333336</v>
      </c>
      <c r="N6" s="2">
        <v>45660</v>
      </c>
      <c r="O6" s="3">
        <v>45663.541666666664</v>
      </c>
      <c r="P6" s="2">
        <v>45664</v>
      </c>
      <c r="Q6" s="3"/>
      <c r="R6" s="2"/>
      <c r="S6" s="2"/>
      <c r="T6" s="2"/>
      <c r="U6" s="2"/>
      <c r="V6" s="2"/>
      <c r="W6" s="3">
        <v>45663.583333333336</v>
      </c>
      <c r="X6" s="3">
        <v>45665.583333333336</v>
      </c>
      <c r="Y6" s="2"/>
      <c r="Z6" s="3"/>
      <c r="AA6" s="3"/>
      <c r="AB6" s="2"/>
      <c r="AC6" s="3"/>
      <c r="AD6" s="3"/>
      <c r="AE6" s="2"/>
      <c r="AF6" s="3"/>
      <c r="AG6" s="3"/>
      <c r="AH6" s="2"/>
      <c r="AI6" s="3"/>
      <c r="AJ6" s="3"/>
      <c r="AK6" s="2"/>
      <c r="AL6" s="3">
        <f>Table2[[#This Row],[Inicio atención nave 1]]</f>
        <v>45663.583333333336</v>
      </c>
      <c r="AM6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45663.583333333336</v>
      </c>
      <c r="AN6" s="3"/>
      <c r="AO6" s="3"/>
      <c r="AP6" s="3"/>
      <c r="AQ6" s="11">
        <f>(Table2[[#This Row],[ETA Inicial]]-Table2[[#This Row],[ATA]])*24</f>
        <v>1095884</v>
      </c>
      <c r="AR6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-1095925</v>
      </c>
      <c r="AS6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6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45665.583333333336</v>
      </c>
      <c r="AU6" s="7">
        <f>COUNTA(Table2[[#This Row],[ETA Modificado]],Table2[[#This Row],[ETA Modificado 2]], Table2[[#This Row],[ETA Modificado 3]], Table2[[#This Row],[ETA Modificado 4]], Table2[[#This Row],[ETA Modificado 5]])</f>
        <v>2</v>
      </c>
      <c r="AV6" s="7">
        <f>COUNTA(Table2[[#This Row],[Inicio atención nave 2]], Table2[[#This Row],[Inicio atención nave 3]], Table2[[#This Row],[Inicio atención nave 4]], Table2[[#This Row],[Inicio atención nave 5]])</f>
        <v>0</v>
      </c>
      <c r="AW6" s="10">
        <f>ABS((Table2[[#This Row],[ETA Planificado]]-Table2[[#This Row],[ETA Inicial]])*24)</f>
        <v>42</v>
      </c>
      <c r="AX6" s="7">
        <f>ABS((Table2[[#This Row],[ETA Real]]-Table2[[#This Row],[ETA Planificado]])*24)</f>
        <v>0</v>
      </c>
      <c r="AY6" s="7">
        <f>ABS((Table2[[#This Row],[ETA Real]]-Table2[[#This Row],[ETA Inicial]])*24)</f>
        <v>42</v>
      </c>
      <c r="AZ6" s="7">
        <f>(Table2[[#This Row],[Último ETD]]-Table2[[#This Row],[ETA Real]])*24</f>
        <v>48</v>
      </c>
    </row>
    <row r="7" spans="1:52" x14ac:dyDescent="0.3">
      <c r="A7" s="18" t="s">
        <v>122</v>
      </c>
      <c r="B7" s="1" t="s">
        <v>60</v>
      </c>
      <c r="C7" s="19">
        <v>9437385</v>
      </c>
      <c r="D7" s="19" t="s">
        <v>45</v>
      </c>
      <c r="E7" s="19">
        <v>450</v>
      </c>
      <c r="F7" s="19">
        <v>1000</v>
      </c>
      <c r="G7" s="1">
        <f>Table2[[#This Row],[Contenedores Embarque]]+Table2[[#This Row],[Contenedores Desembarque]]</f>
        <v>1450</v>
      </c>
      <c r="H7" s="1" t="str" cm="1">
        <f t="array" ref="H7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B</v>
      </c>
      <c r="I7" s="20">
        <v>45653</v>
      </c>
      <c r="J7" s="21">
        <v>45656</v>
      </c>
      <c r="K7" s="7">
        <f>DATEDIF(Table2[[#This Row],[Creación Solicitud]], Table2[[#This Row],[Aprobación solicitud?]], "d")</f>
        <v>3</v>
      </c>
      <c r="L7" s="22">
        <v>45663.208333333336</v>
      </c>
      <c r="M7" s="22">
        <v>45663.1875</v>
      </c>
      <c r="N7" s="2">
        <v>45664</v>
      </c>
      <c r="O7" s="3"/>
      <c r="P7" s="2"/>
      <c r="Q7" s="3"/>
      <c r="R7" s="2"/>
      <c r="S7" s="2"/>
      <c r="T7" s="2"/>
      <c r="U7" s="2"/>
      <c r="V7" s="2"/>
      <c r="W7" s="3">
        <v>45663.25</v>
      </c>
      <c r="X7" s="3">
        <v>45664.625</v>
      </c>
      <c r="Y7" s="2">
        <v>45660</v>
      </c>
      <c r="Z7" s="3"/>
      <c r="AA7" s="3"/>
      <c r="AB7" s="2"/>
      <c r="AC7" s="3"/>
      <c r="AD7" s="3"/>
      <c r="AE7" s="2"/>
      <c r="AF7" s="3"/>
      <c r="AG7" s="3"/>
      <c r="AH7" s="2"/>
      <c r="AI7" s="3"/>
      <c r="AJ7" s="3"/>
      <c r="AK7" s="2"/>
      <c r="AL7" s="3">
        <f>Table2[[#This Row],[Inicio atención nave 1]]</f>
        <v>45663.25</v>
      </c>
      <c r="AM7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45663.25</v>
      </c>
      <c r="AN7" s="3"/>
      <c r="AO7" s="3"/>
      <c r="AP7" s="3"/>
      <c r="AQ7" s="11">
        <f>(Table2[[#This Row],[ETA Inicial]]-Table2[[#This Row],[ATA]])*24</f>
        <v>1095917</v>
      </c>
      <c r="AR7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-1095916.5</v>
      </c>
      <c r="AS7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7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45664.625</v>
      </c>
      <c r="AU7" s="7">
        <f>COUNTA(Table2[[#This Row],[ETA Modificado]],Table2[[#This Row],[ETA Modificado 2]], Table2[[#This Row],[ETA Modificado 3]], Table2[[#This Row],[ETA Modificado 4]], Table2[[#This Row],[ETA Modificado 5]])</f>
        <v>1</v>
      </c>
      <c r="AV7" s="7">
        <f>COUNTA(Table2[[#This Row],[Inicio atención nave 2]], Table2[[#This Row],[Inicio atención nave 3]], Table2[[#This Row],[Inicio atención nave 4]], Table2[[#This Row],[Inicio atención nave 5]])</f>
        <v>0</v>
      </c>
      <c r="AW7" s="10">
        <f>ABS((Table2[[#This Row],[ETA Planificado]]-Table2[[#This Row],[ETA Inicial]])*24)</f>
        <v>0.99999999994179234</v>
      </c>
      <c r="AX7" s="7">
        <f>ABS((Table2[[#This Row],[ETA Real]]-Table2[[#This Row],[ETA Planificado]])*24)</f>
        <v>0</v>
      </c>
      <c r="AY7" s="7">
        <f>ABS((Table2[[#This Row],[ETA Real]]-Table2[[#This Row],[ETA Inicial]])*24)</f>
        <v>0.99999999994179234</v>
      </c>
      <c r="AZ7" s="7">
        <f>(Table2[[#This Row],[Último ETD]]-Table2[[#This Row],[ETA Real]])*24</f>
        <v>33</v>
      </c>
    </row>
    <row r="8" spans="1:52" x14ac:dyDescent="0.3">
      <c r="A8" s="18" t="s">
        <v>123</v>
      </c>
      <c r="B8" s="1" t="s">
        <v>41</v>
      </c>
      <c r="C8" s="19">
        <v>9526978</v>
      </c>
      <c r="D8" s="19" t="s">
        <v>38</v>
      </c>
      <c r="E8" s="19">
        <v>1500</v>
      </c>
      <c r="F8" s="19">
        <v>1200</v>
      </c>
      <c r="G8" s="1">
        <f>Table2[[#This Row],[Contenedores Embarque]]+Table2[[#This Row],[Contenedores Desembarque]]</f>
        <v>2700</v>
      </c>
      <c r="H8" s="1" t="str" cm="1">
        <f t="array" ref="H8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D</v>
      </c>
      <c r="I8" s="20">
        <v>45648</v>
      </c>
      <c r="J8" s="21">
        <v>45656</v>
      </c>
      <c r="K8" s="7">
        <f>DATEDIF(Table2[[#This Row],[Creación Solicitud]], Table2[[#This Row],[Aprobación solicitud?]], "d")</f>
        <v>8</v>
      </c>
      <c r="L8" s="22">
        <v>45663.5</v>
      </c>
      <c r="M8" s="3">
        <v>45663.875</v>
      </c>
      <c r="N8" s="2">
        <v>45661</v>
      </c>
      <c r="O8" s="3">
        <v>45663.875</v>
      </c>
      <c r="P8" s="2">
        <v>45664</v>
      </c>
      <c r="Q8" s="3"/>
      <c r="R8" s="2"/>
      <c r="S8" s="2"/>
      <c r="T8" s="2"/>
      <c r="U8" s="2"/>
      <c r="V8" s="2"/>
      <c r="W8" s="3"/>
      <c r="X8" s="3"/>
      <c r="Y8" s="2"/>
      <c r="Z8" s="3"/>
      <c r="AA8" s="3"/>
      <c r="AB8" s="2"/>
      <c r="AC8" s="3"/>
      <c r="AD8" s="3"/>
      <c r="AE8" s="2"/>
      <c r="AF8" s="3"/>
      <c r="AG8" s="3"/>
      <c r="AH8" s="2"/>
      <c r="AI8" s="3"/>
      <c r="AJ8" s="3"/>
      <c r="AK8" s="2"/>
      <c r="AL8" s="3">
        <f>Table2[[#This Row],[Inicio atención nave 1]]</f>
        <v>0</v>
      </c>
      <c r="AM8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8" s="3"/>
      <c r="AO8" s="3"/>
      <c r="AP8" s="3"/>
      <c r="AQ8" s="11">
        <f>(Table2[[#This Row],[ETA Inicial]]-Table2[[#This Row],[ATA]])*24</f>
        <v>1095924</v>
      </c>
      <c r="AR8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-1095933</v>
      </c>
      <c r="AS8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8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8" s="7">
        <f>COUNTA(Table2[[#This Row],[ETA Modificado]],Table2[[#This Row],[ETA Modificado 2]], Table2[[#This Row],[ETA Modificado 3]], Table2[[#This Row],[ETA Modificado 4]], Table2[[#This Row],[ETA Modificado 5]])</f>
        <v>2</v>
      </c>
      <c r="AV8" s="7">
        <f>COUNTA(Table2[[#This Row],[Inicio atención nave 2]], Table2[[#This Row],[Inicio atención nave 3]], Table2[[#This Row],[Inicio atención nave 4]], Table2[[#This Row],[Inicio atención nave 5]])</f>
        <v>0</v>
      </c>
      <c r="AW8" s="10">
        <f>ABS((Table2[[#This Row],[ETA Planificado]]-Table2[[#This Row],[ETA Inicial]])*24)</f>
        <v>1095924</v>
      </c>
      <c r="AX8" s="7">
        <f>ABS((Table2[[#This Row],[ETA Real]]-Table2[[#This Row],[ETA Planificado]])*24)</f>
        <v>0</v>
      </c>
      <c r="AY8" s="7">
        <f>ABS((Table2[[#This Row],[ETA Real]]-Table2[[#This Row],[ETA Inicial]])*24)</f>
        <v>1095924</v>
      </c>
      <c r="AZ8" s="7">
        <f>(Table2[[#This Row],[Último ETD]]-Table2[[#This Row],[ETA Real]])*24</f>
        <v>0</v>
      </c>
    </row>
    <row r="9" spans="1:52" x14ac:dyDescent="0.3">
      <c r="A9" s="18" t="s">
        <v>63</v>
      </c>
      <c r="B9" s="1" t="s">
        <v>41</v>
      </c>
      <c r="C9" s="19">
        <v>9797204</v>
      </c>
      <c r="D9" s="19" t="s">
        <v>45</v>
      </c>
      <c r="E9" s="19">
        <v>300</v>
      </c>
      <c r="F9" s="19">
        <v>300</v>
      </c>
      <c r="G9" s="1">
        <f>Table2[[#This Row],[Contenedores Embarque]]+Table2[[#This Row],[Contenedores Desembarque]]</f>
        <v>600</v>
      </c>
      <c r="H9" s="1" t="str" cm="1">
        <f t="array" ref="H9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B</v>
      </c>
      <c r="I9" s="20">
        <v>45648</v>
      </c>
      <c r="J9" s="21">
        <v>45657</v>
      </c>
      <c r="K9" s="7">
        <f>DATEDIF(Table2[[#This Row],[Creación Solicitud]], Table2[[#This Row],[Aprobación solicitud?]], "d")</f>
        <v>9</v>
      </c>
      <c r="L9" s="22">
        <v>45664.5</v>
      </c>
      <c r="M9" s="3">
        <v>45665.979166666664</v>
      </c>
      <c r="N9" s="2">
        <v>45664</v>
      </c>
      <c r="O9" s="3">
        <v>45665.974999999999</v>
      </c>
      <c r="P9" s="2">
        <v>45666</v>
      </c>
      <c r="Q9" s="3"/>
      <c r="R9" s="2"/>
      <c r="S9" s="2"/>
      <c r="T9" s="2"/>
      <c r="U9" s="2"/>
      <c r="V9" s="2"/>
      <c r="W9" s="3"/>
      <c r="X9" s="3"/>
      <c r="Y9" s="2"/>
      <c r="Z9" s="3"/>
      <c r="AA9" s="3"/>
      <c r="AB9" s="2"/>
      <c r="AC9" s="3"/>
      <c r="AD9" s="3"/>
      <c r="AE9" s="2"/>
      <c r="AF9" s="3"/>
      <c r="AG9" s="3"/>
      <c r="AH9" s="2"/>
      <c r="AI9" s="3"/>
      <c r="AJ9" s="3"/>
      <c r="AK9" s="2"/>
      <c r="AL9" s="3">
        <f>Table2[[#This Row],[Inicio atención nave 1]]</f>
        <v>0</v>
      </c>
      <c r="AM9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9" s="3"/>
      <c r="AO9" s="3"/>
      <c r="AP9" s="3"/>
      <c r="AQ9" s="11">
        <f>(Table2[[#This Row],[ETA Inicial]]-Table2[[#This Row],[ATA]])*24</f>
        <v>1095948</v>
      </c>
      <c r="AR9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-1095983.3999999999</v>
      </c>
      <c r="AS9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9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9" s="7">
        <f>COUNTA(Table2[[#This Row],[ETA Modificado]],Table2[[#This Row],[ETA Modificado 2]], Table2[[#This Row],[ETA Modificado 3]], Table2[[#This Row],[ETA Modificado 4]], Table2[[#This Row],[ETA Modificado 5]])</f>
        <v>2</v>
      </c>
      <c r="AV9" s="7">
        <f>COUNTA(Table2[[#This Row],[Inicio atención nave 2]], Table2[[#This Row],[Inicio atención nave 3]], Table2[[#This Row],[Inicio atención nave 4]], Table2[[#This Row],[Inicio atención nave 5]])</f>
        <v>0</v>
      </c>
      <c r="AW9" s="10">
        <f>ABS((Table2[[#This Row],[ETA Planificado]]-Table2[[#This Row],[ETA Inicial]])*24)</f>
        <v>1095948</v>
      </c>
      <c r="AX9" s="7">
        <f>ABS((Table2[[#This Row],[ETA Real]]-Table2[[#This Row],[ETA Planificado]])*24)</f>
        <v>0</v>
      </c>
      <c r="AY9" s="7">
        <f>ABS((Table2[[#This Row],[ETA Real]]-Table2[[#This Row],[ETA Inicial]])*24)</f>
        <v>1095948</v>
      </c>
      <c r="AZ9" s="7">
        <f>(Table2[[#This Row],[Último ETD]]-Table2[[#This Row],[ETA Real]])*24</f>
        <v>0</v>
      </c>
    </row>
    <row r="10" spans="1:52" x14ac:dyDescent="0.3">
      <c r="A10" s="18"/>
      <c r="B10" s="1"/>
      <c r="C10" s="19"/>
      <c r="D10" s="19"/>
      <c r="E10" s="19"/>
      <c r="F10" s="19"/>
      <c r="G10" s="1">
        <f>Table2[[#This Row],[Contenedores Embarque]]+Table2[[#This Row],[Contenedores Desembarque]]</f>
        <v>0</v>
      </c>
      <c r="H10" s="1" t="str" cm="1">
        <f t="array" ref="H10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A</v>
      </c>
      <c r="I10" s="20"/>
      <c r="J10" s="21"/>
      <c r="K10" s="7">
        <f>DATEDIF(Table2[[#This Row],[Creación Solicitud]], Table2[[#This Row],[Aprobación solicitud?]], "d")</f>
        <v>0</v>
      </c>
      <c r="L10" s="22"/>
      <c r="M10" s="3"/>
      <c r="N10" s="2"/>
      <c r="O10" s="3"/>
      <c r="P10" s="2"/>
      <c r="Q10" s="3"/>
      <c r="R10" s="2"/>
      <c r="S10" s="2"/>
      <c r="T10" s="2"/>
      <c r="U10" s="2"/>
      <c r="V10" s="2"/>
      <c r="W10" s="3"/>
      <c r="X10" s="3"/>
      <c r="Y10" s="2"/>
      <c r="Z10" s="3"/>
      <c r="AA10" s="3"/>
      <c r="AB10" s="2"/>
      <c r="AC10" s="3"/>
      <c r="AD10" s="3"/>
      <c r="AE10" s="2"/>
      <c r="AF10" s="3"/>
      <c r="AG10" s="3"/>
      <c r="AH10" s="2"/>
      <c r="AI10" s="3"/>
      <c r="AJ10" s="3"/>
      <c r="AK10" s="2"/>
      <c r="AL10" s="3">
        <f>Table2[[#This Row],[Inicio atención nave 1]]</f>
        <v>0</v>
      </c>
      <c r="AM10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10" s="3"/>
      <c r="AO10" s="3"/>
      <c r="AP10" s="3"/>
      <c r="AQ10" s="11">
        <f>(Table2[[#This Row],[ETA Inicial]]-Table2[[#This Row],[ATA]])*24</f>
        <v>0</v>
      </c>
      <c r="AR10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0</v>
      </c>
      <c r="AS10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10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10" s="7">
        <f>COUNTA(Table2[[#This Row],[ETA Modificado]],Table2[[#This Row],[ETA Modificado 2]], Table2[[#This Row],[ETA Modificado 3]], Table2[[#This Row],[ETA Modificado 4]], Table2[[#This Row],[ETA Modificado 5]])</f>
        <v>0</v>
      </c>
      <c r="AV10" s="7">
        <f>COUNTA(Table2[[#This Row],[Inicio atención nave 2]], Table2[[#This Row],[Inicio atención nave 3]], Table2[[#This Row],[Inicio atención nave 4]], Table2[[#This Row],[Inicio atención nave 5]])</f>
        <v>0</v>
      </c>
      <c r="AW10" s="10">
        <f>ABS((Table2[[#This Row],[ETA Planificado]]-Table2[[#This Row],[ETA Inicial]])*24)</f>
        <v>0</v>
      </c>
      <c r="AX10" s="7">
        <f>ABS((Table2[[#This Row],[ETA Real]]-Table2[[#This Row],[ETA Planificado]])*24)</f>
        <v>0</v>
      </c>
      <c r="AY10" s="7">
        <f>ABS((Table2[[#This Row],[ETA Real]]-Table2[[#This Row],[ETA Inicial]])*24)</f>
        <v>0</v>
      </c>
      <c r="AZ10" s="7">
        <f>(Table2[[#This Row],[Último ETD]]-Table2[[#This Row],[ETA Real]])*24</f>
        <v>0</v>
      </c>
    </row>
    <row r="11" spans="1:52" x14ac:dyDescent="0.3">
      <c r="A11" s="23"/>
      <c r="B11" s="1"/>
      <c r="C11" s="1"/>
      <c r="D11" s="1"/>
      <c r="E11" s="1"/>
      <c r="F11" s="1"/>
      <c r="G11" s="1">
        <f>Table2[[#This Row],[Contenedores Embarque]]+Table2[[#This Row],[Contenedores Desembarque]]</f>
        <v>0</v>
      </c>
      <c r="H11" s="1" t="str" cm="1">
        <f t="array" ref="H11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A</v>
      </c>
      <c r="I11" s="24"/>
      <c r="J11" s="2"/>
      <c r="K11" s="7">
        <f>DATEDIF(Table2[[#This Row],[Creación Solicitud]], Table2[[#This Row],[Aprobación solicitud?]], "d")</f>
        <v>0</v>
      </c>
      <c r="L11" s="3"/>
      <c r="M11" s="3"/>
      <c r="N11" s="2"/>
      <c r="O11" s="3"/>
      <c r="P11" s="2"/>
      <c r="Q11" s="3"/>
      <c r="R11" s="2"/>
      <c r="S11" s="2"/>
      <c r="T11" s="2"/>
      <c r="U11" s="2"/>
      <c r="V11" s="2"/>
      <c r="W11" s="3"/>
      <c r="X11" s="3"/>
      <c r="Y11" s="2"/>
      <c r="Z11" s="3"/>
      <c r="AA11" s="3"/>
      <c r="AB11" s="2"/>
      <c r="AC11" s="3"/>
      <c r="AD11" s="3"/>
      <c r="AE11" s="2"/>
      <c r="AF11" s="3"/>
      <c r="AG11" s="3"/>
      <c r="AH11" s="2"/>
      <c r="AI11" s="3"/>
      <c r="AJ11" s="3"/>
      <c r="AK11" s="2"/>
      <c r="AL11" s="3">
        <f>Table2[[#This Row],[Inicio atención nave 1]]</f>
        <v>0</v>
      </c>
      <c r="AM11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11" s="3"/>
      <c r="AO11" s="3"/>
      <c r="AP11" s="3"/>
      <c r="AQ11" s="11">
        <f>(Table2[[#This Row],[ETA Inicial]]-Table2[[#This Row],[ATA]])*24</f>
        <v>0</v>
      </c>
      <c r="AR11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0</v>
      </c>
      <c r="AS11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11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11" s="7">
        <f>COUNTA(Table2[[#This Row],[ETA Modificado]],Table2[[#This Row],[ETA Modificado 2]], Table2[[#This Row],[ETA Modificado 3]], Table2[[#This Row],[ETA Modificado 4]], Table2[[#This Row],[ETA Modificado 5]])</f>
        <v>0</v>
      </c>
      <c r="AV11" s="7">
        <f>COUNTA(Table2[[#This Row],[Inicio atención nave 2]], Table2[[#This Row],[Inicio atención nave 3]], Table2[[#This Row],[Inicio atención nave 4]], Table2[[#This Row],[Inicio atención nave 5]])</f>
        <v>0</v>
      </c>
      <c r="AW11" s="10">
        <f>ABS((Table2[[#This Row],[ETA Planificado]]-Table2[[#This Row],[ETA Inicial]])*24)</f>
        <v>0</v>
      </c>
      <c r="AX11" s="7">
        <f>ABS((Table2[[#This Row],[ETA Real]]-Table2[[#This Row],[ETA Planificado]])*24)</f>
        <v>0</v>
      </c>
      <c r="AY11" s="7">
        <f>ABS((Table2[[#This Row],[ETA Real]]-Table2[[#This Row],[ETA Inicial]])*24)</f>
        <v>0</v>
      </c>
      <c r="AZ11" s="7">
        <f>(Table2[[#This Row],[Último ETD]]-Table2[[#This Row],[ETA Real]])*24</f>
        <v>0</v>
      </c>
    </row>
    <row r="12" spans="1:52" x14ac:dyDescent="0.3">
      <c r="A12" s="23"/>
      <c r="B12" s="1"/>
      <c r="C12" s="1"/>
      <c r="D12" s="1"/>
      <c r="E12" s="1"/>
      <c r="F12" s="1"/>
      <c r="G12" s="1">
        <f>Table2[[#This Row],[Contenedores Embarque]]+Table2[[#This Row],[Contenedores Desembarque]]</f>
        <v>0</v>
      </c>
      <c r="H12" s="1" t="str" cm="1">
        <f t="array" ref="H12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A</v>
      </c>
      <c r="I12" s="24"/>
      <c r="J12" s="2"/>
      <c r="K12" s="7">
        <f>DATEDIF(Table2[[#This Row],[Creación Solicitud]], Table2[[#This Row],[Aprobación solicitud?]], "d")</f>
        <v>0</v>
      </c>
      <c r="L12" s="3"/>
      <c r="M12" s="3"/>
      <c r="N12" s="2"/>
      <c r="O12" s="3"/>
      <c r="P12" s="2"/>
      <c r="Q12" s="3"/>
      <c r="R12" s="2"/>
      <c r="S12" s="2"/>
      <c r="T12" s="2"/>
      <c r="U12" s="2"/>
      <c r="V12" s="2"/>
      <c r="W12" s="3"/>
      <c r="X12" s="3"/>
      <c r="Y12" s="2"/>
      <c r="Z12" s="3"/>
      <c r="AA12" s="3"/>
      <c r="AB12" s="2"/>
      <c r="AC12" s="3"/>
      <c r="AD12" s="3"/>
      <c r="AE12" s="2"/>
      <c r="AF12" s="3"/>
      <c r="AG12" s="3"/>
      <c r="AH12" s="2"/>
      <c r="AI12" s="3"/>
      <c r="AJ12" s="3"/>
      <c r="AK12" s="2"/>
      <c r="AL12" s="3">
        <f>Table2[[#This Row],[Inicio atención nave 1]]</f>
        <v>0</v>
      </c>
      <c r="AM12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12" s="3"/>
      <c r="AO12" s="3"/>
      <c r="AP12" s="3"/>
      <c r="AQ12" s="11">
        <f>(Table2[[#This Row],[ETA Inicial]]-Table2[[#This Row],[ATA]])*24</f>
        <v>0</v>
      </c>
      <c r="AR12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0</v>
      </c>
      <c r="AS12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12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12" s="7">
        <f>COUNTA(Table2[[#This Row],[ETA Modificado]],Table2[[#This Row],[ETA Modificado 2]], Table2[[#This Row],[ETA Modificado 3]], Table2[[#This Row],[ETA Modificado 4]], Table2[[#This Row],[ETA Modificado 5]])</f>
        <v>0</v>
      </c>
      <c r="AV12" s="7">
        <f>COUNTA(Table2[[#This Row],[Inicio atención nave 2]], Table2[[#This Row],[Inicio atención nave 3]], Table2[[#This Row],[Inicio atención nave 4]], Table2[[#This Row],[Inicio atención nave 5]])</f>
        <v>0</v>
      </c>
      <c r="AW12" s="10">
        <f>ABS((Table2[[#This Row],[ETA Planificado]]-Table2[[#This Row],[ETA Inicial]])*24)</f>
        <v>0</v>
      </c>
      <c r="AX12" s="7">
        <f>ABS((Table2[[#This Row],[ETA Real]]-Table2[[#This Row],[ETA Planificado]])*24)</f>
        <v>0</v>
      </c>
      <c r="AY12" s="7">
        <f>ABS((Table2[[#This Row],[ETA Real]]-Table2[[#This Row],[ETA Inicial]])*24)</f>
        <v>0</v>
      </c>
      <c r="AZ12" s="7">
        <f>(Table2[[#This Row],[Último ETD]]-Table2[[#This Row],[ETA Real]])*24</f>
        <v>0</v>
      </c>
    </row>
    <row r="13" spans="1:52" x14ac:dyDescent="0.3">
      <c r="A13" s="23"/>
      <c r="B13" s="1"/>
      <c r="C13" s="1"/>
      <c r="D13" s="1"/>
      <c r="E13" s="1"/>
      <c r="F13" s="1"/>
      <c r="G13" s="1">
        <f>Table2[[#This Row],[Contenedores Embarque]]+Table2[[#This Row],[Contenedores Desembarque]]</f>
        <v>0</v>
      </c>
      <c r="H13" s="1" t="str" cm="1">
        <f t="array" ref="H13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A</v>
      </c>
      <c r="I13" s="24"/>
      <c r="J13" s="2"/>
      <c r="K13" s="7">
        <f>DATEDIF(Table2[[#This Row],[Creación Solicitud]], Table2[[#This Row],[Aprobación solicitud?]], "d")</f>
        <v>0</v>
      </c>
      <c r="L13" s="3"/>
      <c r="M13" s="3"/>
      <c r="N13" s="2"/>
      <c r="O13" s="3"/>
      <c r="P13" s="2"/>
      <c r="Q13" s="3"/>
      <c r="R13" s="2"/>
      <c r="S13" s="2"/>
      <c r="T13" s="2"/>
      <c r="U13" s="2"/>
      <c r="V13" s="2"/>
      <c r="W13" s="3"/>
      <c r="X13" s="3"/>
      <c r="Y13" s="2"/>
      <c r="Z13" s="3"/>
      <c r="AA13" s="3"/>
      <c r="AB13" s="2"/>
      <c r="AC13" s="3"/>
      <c r="AD13" s="3"/>
      <c r="AE13" s="2"/>
      <c r="AF13" s="3"/>
      <c r="AG13" s="3"/>
      <c r="AH13" s="2"/>
      <c r="AI13" s="3"/>
      <c r="AJ13" s="3"/>
      <c r="AK13" s="2"/>
      <c r="AL13" s="3">
        <f>Table2[[#This Row],[Inicio atención nave 1]]</f>
        <v>0</v>
      </c>
      <c r="AM13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13" s="3"/>
      <c r="AO13" s="3"/>
      <c r="AP13" s="3"/>
      <c r="AQ13" s="11">
        <f>(Table2[[#This Row],[ETA Inicial]]-Table2[[#This Row],[ATA]])*24</f>
        <v>0</v>
      </c>
      <c r="AR13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0</v>
      </c>
      <c r="AS13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13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13" s="7">
        <f>COUNTA(Table2[[#This Row],[ETA Modificado]],Table2[[#This Row],[ETA Modificado 2]], Table2[[#This Row],[ETA Modificado 3]], Table2[[#This Row],[ETA Modificado 4]], Table2[[#This Row],[ETA Modificado 5]])</f>
        <v>0</v>
      </c>
      <c r="AV13" s="7">
        <f>COUNTA(Table2[[#This Row],[Inicio atención nave 2]], Table2[[#This Row],[Inicio atención nave 3]], Table2[[#This Row],[Inicio atención nave 4]], Table2[[#This Row],[Inicio atención nave 5]])</f>
        <v>0</v>
      </c>
      <c r="AW13" s="10">
        <f>ABS((Table2[[#This Row],[ETA Planificado]]-Table2[[#This Row],[ETA Inicial]])*24)</f>
        <v>0</v>
      </c>
      <c r="AX13" s="7">
        <f>ABS((Table2[[#This Row],[ETA Real]]-Table2[[#This Row],[ETA Planificado]])*24)</f>
        <v>0</v>
      </c>
      <c r="AY13" s="7">
        <f>ABS((Table2[[#This Row],[ETA Real]]-Table2[[#This Row],[ETA Inicial]])*24)</f>
        <v>0</v>
      </c>
      <c r="AZ13" s="7">
        <f>(Table2[[#This Row],[Último ETD]]-Table2[[#This Row],[ETA Real]])*24</f>
        <v>0</v>
      </c>
    </row>
    <row r="14" spans="1:52" x14ac:dyDescent="0.3">
      <c r="A14" s="23"/>
      <c r="B14" s="1"/>
      <c r="C14" s="1"/>
      <c r="D14" s="1"/>
      <c r="E14" s="1"/>
      <c r="F14" s="1"/>
      <c r="G14" s="1">
        <f>Table2[[#This Row],[Contenedores Embarque]]+Table2[[#This Row],[Contenedores Desembarque]]</f>
        <v>0</v>
      </c>
      <c r="H14" s="1" t="str" cm="1">
        <f t="array" ref="H14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A</v>
      </c>
      <c r="I14" s="24"/>
      <c r="J14" s="2"/>
      <c r="K14" s="7">
        <f>DATEDIF(Table2[[#This Row],[Creación Solicitud]], Table2[[#This Row],[Aprobación solicitud?]], "d")</f>
        <v>0</v>
      </c>
      <c r="L14" s="3"/>
      <c r="M14" s="3"/>
      <c r="N14" s="2"/>
      <c r="O14" s="3"/>
      <c r="P14" s="2"/>
      <c r="Q14" s="3"/>
      <c r="R14" s="2"/>
      <c r="S14" s="2"/>
      <c r="T14" s="2"/>
      <c r="U14" s="2"/>
      <c r="V14" s="2"/>
      <c r="W14" s="3"/>
      <c r="X14" s="3"/>
      <c r="Y14" s="2"/>
      <c r="Z14" s="3"/>
      <c r="AA14" s="3"/>
      <c r="AB14" s="2"/>
      <c r="AC14" s="3"/>
      <c r="AD14" s="3"/>
      <c r="AE14" s="2"/>
      <c r="AF14" s="3"/>
      <c r="AG14" s="3"/>
      <c r="AH14" s="2"/>
      <c r="AI14" s="3"/>
      <c r="AJ14" s="3"/>
      <c r="AK14" s="2"/>
      <c r="AL14" s="3">
        <f>Table2[[#This Row],[Inicio atención nave 1]]</f>
        <v>0</v>
      </c>
      <c r="AM14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14" s="3"/>
      <c r="AO14" s="3"/>
      <c r="AP14" s="3"/>
      <c r="AQ14" s="11">
        <f>(Table2[[#This Row],[ETA Inicial]]-Table2[[#This Row],[ATA]])*24</f>
        <v>0</v>
      </c>
      <c r="AR14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0</v>
      </c>
      <c r="AS14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14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14" s="7">
        <f>COUNTA(Table2[[#This Row],[ETA Modificado]],Table2[[#This Row],[ETA Modificado 2]], Table2[[#This Row],[ETA Modificado 3]], Table2[[#This Row],[ETA Modificado 4]], Table2[[#This Row],[ETA Modificado 5]])</f>
        <v>0</v>
      </c>
      <c r="AV14" s="7">
        <f>COUNTA(Table2[[#This Row],[Inicio atención nave 2]], Table2[[#This Row],[Inicio atención nave 3]], Table2[[#This Row],[Inicio atención nave 4]], Table2[[#This Row],[Inicio atención nave 5]])</f>
        <v>0</v>
      </c>
      <c r="AW14" s="10">
        <f>ABS((Table2[[#This Row],[ETA Planificado]]-Table2[[#This Row],[ETA Inicial]])*24)</f>
        <v>0</v>
      </c>
      <c r="AX14" s="7">
        <f>ABS((Table2[[#This Row],[ETA Real]]-Table2[[#This Row],[ETA Planificado]])*24)</f>
        <v>0</v>
      </c>
      <c r="AY14" s="7">
        <f>ABS((Table2[[#This Row],[ETA Real]]-Table2[[#This Row],[ETA Inicial]])*24)</f>
        <v>0</v>
      </c>
      <c r="AZ14" s="7">
        <f>(Table2[[#This Row],[Último ETD]]-Table2[[#This Row],[ETA Real]])*24</f>
        <v>0</v>
      </c>
    </row>
    <row r="15" spans="1:52" x14ac:dyDescent="0.3">
      <c r="A15" s="23"/>
      <c r="B15" s="1"/>
      <c r="C15" s="1"/>
      <c r="D15" s="1"/>
      <c r="E15" s="1"/>
      <c r="F15" s="1"/>
      <c r="G15" s="1">
        <f>Table2[[#This Row],[Contenedores Embarque]]+Table2[[#This Row],[Contenedores Desembarque]]</f>
        <v>0</v>
      </c>
      <c r="H15" s="1" t="str" cm="1">
        <f t="array" ref="H15">_xlfn.IFS(Table2[[#This Row],[Total de Movimientos]]&lt;=500, "A",
   Table2[[#This Row],[Total de Movimientos]]&lt;=1500, "B",
 Table2[[#This Row],[Total de Movimientos]]&lt;=2500, "C",
    Table2[[#This Row],[Total de Movimientos]]&lt;=4000, "D",
    Table2[[#This Row],[Total de Movimientos]]&gt;4000, "E"
)</f>
        <v>A</v>
      </c>
      <c r="I15" s="24"/>
      <c r="J15" s="2"/>
      <c r="K15" s="7">
        <f>DATEDIF(Table2[[#This Row],[Creación Solicitud]], Table2[[#This Row],[Aprobación solicitud?]], "d")</f>
        <v>0</v>
      </c>
      <c r="L15" s="3"/>
      <c r="M15" s="3"/>
      <c r="N15" s="2"/>
      <c r="O15" s="3"/>
      <c r="P15" s="2"/>
      <c r="Q15" s="3"/>
      <c r="R15" s="2"/>
      <c r="S15" s="2"/>
      <c r="T15" s="2"/>
      <c r="U15" s="2"/>
      <c r="V15" s="2"/>
      <c r="W15" s="3"/>
      <c r="X15" s="3"/>
      <c r="Y15" s="2"/>
      <c r="Z15" s="3"/>
      <c r="AA15" s="3"/>
      <c r="AB15" s="2"/>
      <c r="AC15" s="3"/>
      <c r="AD15" s="3"/>
      <c r="AE15" s="2"/>
      <c r="AF15" s="3"/>
      <c r="AG15" s="3"/>
      <c r="AH15" s="2"/>
      <c r="AI15" s="3"/>
      <c r="AJ15" s="3"/>
      <c r="AK15" s="2"/>
      <c r="AL15" s="3">
        <f>Table2[[#This Row],[Inicio atención nave 1]]</f>
        <v>0</v>
      </c>
      <c r="AM15" s="3">
        <f>IF(Table2[[#This Row],[Inicio atención nave 5]]&lt;&gt;"", Table2[[#This Row],[Inicio atención nave 5]],
   IF(Table2[[#This Row],[Inicio atención nave 4]]&lt;&gt;"",Table2[[#This Row],[Inicio atención nave 4]],
      IF(Table2[[#This Row],[Inicio atención nave 3]]&lt;&gt;"", Table2[[#This Row],[Inicio atención nave 3]],
         IF(Table2[[#This Row],[Inicio atención nave 2]]&lt;&gt;"", Table2[[#This Row],[Inicio atención nave 2]],
            Table2[[#This Row],[Inicio atención nave 1]]
         )
      )
   )
)</f>
        <v>0</v>
      </c>
      <c r="AN15" s="3"/>
      <c r="AO15" s="3"/>
      <c r="AP15" s="3"/>
      <c r="AQ15" s="11">
        <f>(Table2[[#This Row],[ETA Inicial]]-Table2[[#This Row],[ATA]])*24</f>
        <v>0</v>
      </c>
      <c r="AR15" s="9">
        <f>IF(Table2[[#This Row],[ETA Modificado 5]]&lt;&gt;"", (Table2[[#This Row],[ATA]]-Table2[[#This Row],[ETA Modificado 5]])*24, IF(Table2[[#This Row],[ETA Modificado 4]]&lt;&gt;"", (Table2[[#This Row],[ATA]]-Table2[[#This Row],[ETA Modificado 4]])*24, IF(Table2[[#This Row],[ETA Modificado 3]]&lt;&gt;"", (Table2[[#This Row],[ATA]]-Table2[[#This Row],[ETA Modificado 3]])*24, IF(Table2[[#This Row],[ETA Modificado 2]]&lt;&gt;"", (Table2[[#This Row],[ATA]]-Table2[[#This Row],[ETA Modificado 2]])*24, IF(Table2[[#This Row],[ETA Modificado]]&lt;&gt;"", (Table2[[#This Row],[ATA]]-Table2[[#This Row],[ETA Modificado]])*24,(Table2[[#This Row],[ATA]]-Table2[[#This Row],[ETA Inicial]])*24)))))</f>
        <v>0</v>
      </c>
      <c r="AS15" s="8">
        <f>IF(Table2[[#This Row],[ETD 5]]&lt;&gt;"", (Table2[[#This Row],[ETD 5]]-Table2[[#This Row],[ETD Inicial]])*24,
   IF(Table2[[#This Row],[ETD 4]]&lt;&gt;"", (Table2[[#This Row],[ETD 4]]-Table2[[#This Row],[ETD Inicial]])*24,
   IF(Table2[[#This Row],[ETD 3]]&lt;&gt;"", (Table2[[#This Row],[ETD 3]]-Table2[[#This Row],[ETD Inicial]])*24,
   IF(Table2[[#This Row],[ETD 2]]&lt;&gt;"", (Table2[[#This Row],[ETD 2]]-Table2[[#This Row],[ETD Inicial]])*24,
   (Table2[[#This Row],[ETD Inicial]]-Table2[[#This Row],[ETD Inicial]])*24))))</f>
        <v>0</v>
      </c>
      <c r="AT15" s="3">
        <f>IF(Table2[[#This Row],[ETD 5]]&lt;&gt;"", Table2[[#This Row],[ETD 5]],
   IF(Table2[[#This Row],[ETD 4]]&lt;&gt;"", Table2[[#This Row],[ETD 4]],
      IF(Table2[[#This Row],[ETD 3]]&lt;&gt;"", Table2[[#This Row],[ETD 3]],
         IF(Table2[[#This Row],[ETD 2]]&lt;&gt;"", Table2[[#This Row],[ETD 2]],
            Table2[[#This Row],[ETD Inicial]]
         )
      )
   )
)</f>
        <v>0</v>
      </c>
      <c r="AU15" s="7">
        <f>COUNTA(Table2[[#This Row],[ETA Modificado]],Table2[[#This Row],[ETA Modificado 2]], Table2[[#This Row],[ETA Modificado 3]], Table2[[#This Row],[ETA Modificado 4]], Table2[[#This Row],[ETA Modificado 5]])</f>
        <v>0</v>
      </c>
      <c r="AV15" s="7">
        <f>COUNTA(Table2[[#This Row],[Inicio atención nave 2]], Table2[[#This Row],[Inicio atención nave 3]], Table2[[#This Row],[Inicio atención nave 4]], Table2[[#This Row],[Inicio atención nave 5]])</f>
        <v>0</v>
      </c>
      <c r="AW15" s="10">
        <f>ABS((Table2[[#This Row],[ETA Planificado]]-Table2[[#This Row],[ETA Inicial]])*24)</f>
        <v>0</v>
      </c>
      <c r="AX15" s="7">
        <f>ABS((Table2[[#This Row],[ETA Real]]-Table2[[#This Row],[ETA Planificado]])*24)</f>
        <v>0</v>
      </c>
      <c r="AY15" s="7">
        <f>ABS((Table2[[#This Row],[ETA Real]]-Table2[[#This Row],[ETA Inicial]])*24)</f>
        <v>0</v>
      </c>
      <c r="AZ15" s="7">
        <f>(Table2[[#This Row],[Último ETD]]-Table2[[#This Row],[ETA Real]])*24</f>
        <v>0</v>
      </c>
    </row>
    <row r="31" spans="2:11" x14ac:dyDescent="0.3">
      <c r="B31" s="18" t="s">
        <v>120</v>
      </c>
      <c r="C31" s="19">
        <v>9806055</v>
      </c>
      <c r="D31" s="19" t="s">
        <v>38</v>
      </c>
      <c r="E31" s="19">
        <v>2300</v>
      </c>
      <c r="F31" s="19">
        <v>1500</v>
      </c>
      <c r="G31" s="19" t="e">
        <f>[1]!Table2[[#This Row],[Contenedores Embarque]]+[1]!Table2[[#This Row],[Contenedores Desembarque]]</f>
        <v>#REF!</v>
      </c>
      <c r="H31" s="1" t="e" cm="1">
        <f t="array" ref="H31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1" s="20">
        <v>45653</v>
      </c>
      <c r="J31" s="21">
        <v>45653</v>
      </c>
      <c r="K31" s="22">
        <v>45659.5</v>
      </c>
    </row>
    <row r="32" spans="2:11" x14ac:dyDescent="0.3">
      <c r="B32" s="18" t="s">
        <v>76</v>
      </c>
      <c r="C32" s="19">
        <v>9193317</v>
      </c>
      <c r="D32" s="19" t="s">
        <v>38</v>
      </c>
      <c r="E32" s="19">
        <v>400</v>
      </c>
      <c r="F32" s="19">
        <v>600</v>
      </c>
      <c r="G32" s="19" t="e">
        <f>[1]!Table2[[#This Row],[Contenedores Embarque]]+[1]!Table2[[#This Row],[Contenedores Desembarque]]</f>
        <v>#REF!</v>
      </c>
      <c r="H32" s="1" t="e" cm="1">
        <f t="array" ref="H32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2" s="20">
        <v>45652</v>
      </c>
      <c r="J32" s="21">
        <v>45653</v>
      </c>
      <c r="K32" s="22">
        <v>45660.166666666664</v>
      </c>
    </row>
    <row r="33" spans="2:11" x14ac:dyDescent="0.3">
      <c r="B33" s="18" t="s">
        <v>92</v>
      </c>
      <c r="C33" s="19">
        <v>9191632</v>
      </c>
      <c r="D33" s="19" t="s">
        <v>38</v>
      </c>
      <c r="E33" s="19">
        <v>120</v>
      </c>
      <c r="F33" s="19">
        <v>150</v>
      </c>
      <c r="G33" s="19" t="e">
        <f>[1]!Table2[[#This Row],[Contenedores Embarque]]+[1]!Table2[[#This Row],[Contenedores Desembarque]]</f>
        <v>#REF!</v>
      </c>
      <c r="H33" s="1" t="e" cm="1">
        <f t="array" ref="H33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3" s="20">
        <v>45649</v>
      </c>
      <c r="J33" s="21">
        <v>45653</v>
      </c>
      <c r="K33" s="22">
        <v>45660.583333333336</v>
      </c>
    </row>
    <row r="34" spans="2:11" x14ac:dyDescent="0.3">
      <c r="B34" s="18" t="s">
        <v>50</v>
      </c>
      <c r="C34" s="19">
        <v>9943085</v>
      </c>
      <c r="D34" s="19" t="s">
        <v>38</v>
      </c>
      <c r="E34" s="19">
        <v>450</v>
      </c>
      <c r="F34" s="19">
        <v>400</v>
      </c>
      <c r="G34" s="19" t="e">
        <f>[1]!Table2[[#This Row],[Contenedores Embarque]]+[1]!Table2[[#This Row],[Contenedores Desembarque]]</f>
        <v>#REF!</v>
      </c>
      <c r="H34" s="1" t="e" cm="1">
        <f t="array" ref="H34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4" s="20">
        <v>45648</v>
      </c>
      <c r="J34" s="21">
        <v>45654</v>
      </c>
      <c r="K34" s="22">
        <v>45661.25</v>
      </c>
    </row>
    <row r="35" spans="2:11" x14ac:dyDescent="0.3">
      <c r="B35" s="18" t="s">
        <v>121</v>
      </c>
      <c r="C35" s="19">
        <v>9285976</v>
      </c>
      <c r="D35" s="19" t="s">
        <v>38</v>
      </c>
      <c r="E35" s="19">
        <v>500</v>
      </c>
      <c r="F35" s="19">
        <v>800</v>
      </c>
      <c r="G35" s="19" t="e">
        <f>[1]!Table2[[#This Row],[Contenedores Embarque]]+[1]!Table2[[#This Row],[Contenedores Desembarque]]</f>
        <v>#REF!</v>
      </c>
      <c r="H35" s="1" t="e" cm="1">
        <f t="array" ref="H35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5" s="20">
        <v>45652</v>
      </c>
      <c r="J35" s="21">
        <v>45654</v>
      </c>
      <c r="K35" s="22">
        <v>45661.833333333336</v>
      </c>
    </row>
    <row r="36" spans="2:11" x14ac:dyDescent="0.3">
      <c r="B36" s="18" t="s">
        <v>122</v>
      </c>
      <c r="C36" s="19">
        <v>9437385</v>
      </c>
      <c r="D36" s="19" t="s">
        <v>45</v>
      </c>
      <c r="E36" s="19">
        <v>450</v>
      </c>
      <c r="F36" s="19">
        <v>1000</v>
      </c>
      <c r="G36" s="19" t="e">
        <f>[1]!Table2[[#This Row],[Contenedores Embarque]]+[1]!Table2[[#This Row],[Contenedores Desembarque]]</f>
        <v>#REF!</v>
      </c>
      <c r="H36" s="1" t="e" cm="1">
        <f t="array" ref="H36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6" s="20">
        <v>45653</v>
      </c>
      <c r="J36" s="21">
        <v>45656</v>
      </c>
      <c r="K36" s="22">
        <v>45663.208333333336</v>
      </c>
    </row>
    <row r="37" spans="2:11" x14ac:dyDescent="0.3">
      <c r="B37" s="18" t="s">
        <v>123</v>
      </c>
      <c r="C37" s="19">
        <v>9526978</v>
      </c>
      <c r="D37" s="19" t="s">
        <v>38</v>
      </c>
      <c r="E37" s="19">
        <v>1500</v>
      </c>
      <c r="F37" s="19">
        <v>1200</v>
      </c>
      <c r="G37" s="19" t="e">
        <f>[1]!Table2[[#This Row],[Contenedores Embarque]]+[1]!Table2[[#This Row],[Contenedores Desembarque]]</f>
        <v>#REF!</v>
      </c>
      <c r="H37" s="1" t="e" cm="1">
        <f t="array" ref="H37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7" s="20">
        <v>45648</v>
      </c>
      <c r="J37" s="21">
        <v>45656</v>
      </c>
      <c r="K37" s="22">
        <v>45663.5</v>
      </c>
    </row>
    <row r="38" spans="2:11" x14ac:dyDescent="0.3">
      <c r="B38" s="18" t="s">
        <v>124</v>
      </c>
      <c r="C38" s="19">
        <v>9724049</v>
      </c>
      <c r="D38" s="19" t="s">
        <v>45</v>
      </c>
      <c r="E38" s="19">
        <v>1100</v>
      </c>
      <c r="F38" s="19">
        <v>1200</v>
      </c>
      <c r="G38" s="19" t="e">
        <f>[1]!Table2[[#This Row],[Contenedores Embarque]]+[1]!Table2[[#This Row],[Contenedores Desembarque]]</f>
        <v>#REF!</v>
      </c>
      <c r="H38" s="1" t="e" cm="1">
        <f t="array" ref="H38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8" s="20">
        <v>41999</v>
      </c>
      <c r="J38" s="21">
        <v>45656</v>
      </c>
      <c r="K38" s="22">
        <v>45663.541666666664</v>
      </c>
    </row>
    <row r="39" spans="2:11" x14ac:dyDescent="0.3">
      <c r="B39" s="18" t="s">
        <v>63</v>
      </c>
      <c r="C39" s="19">
        <v>9797204</v>
      </c>
      <c r="D39" s="19" t="s">
        <v>45</v>
      </c>
      <c r="E39" s="19">
        <v>300</v>
      </c>
      <c r="F39" s="19">
        <v>300</v>
      </c>
      <c r="G39" s="19" t="e">
        <f>[1]!Table2[[#This Row],[Contenedores Embarque]]+[1]!Table2[[#This Row],[Contenedores Desembarque]]</f>
        <v>#REF!</v>
      </c>
      <c r="H39" s="1" t="e" cm="1">
        <f t="array" ref="H39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9" s="20">
        <v>45648</v>
      </c>
      <c r="J39" s="21">
        <v>45657</v>
      </c>
      <c r="K39" s="22">
        <v>45664.5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3526-2CF7-4B23-8010-73C05EC002BB}">
  <dimension ref="A1:AZ40"/>
  <sheetViews>
    <sheetView workbookViewId="0">
      <selection activeCell="AQ2" sqref="AQ2:AZ10"/>
    </sheetView>
  </sheetViews>
  <sheetFormatPr defaultRowHeight="14.4" x14ac:dyDescent="0.3"/>
  <cols>
    <col min="1" max="2" width="17" bestFit="1" customWidth="1"/>
    <col min="3" max="3" width="8.77734375" bestFit="1" customWidth="1"/>
    <col min="4" max="4" width="12.77734375" bestFit="1" customWidth="1"/>
    <col min="5" max="5" width="26.21875" bestFit="1" customWidth="1"/>
    <col min="6" max="6" width="29.33203125" bestFit="1" customWidth="1"/>
    <col min="7" max="7" width="23.21875" bestFit="1" customWidth="1"/>
    <col min="8" max="8" width="27.6640625" bestFit="1" customWidth="1"/>
    <col min="9" max="9" width="20.88671875" bestFit="1" customWidth="1"/>
    <col min="10" max="10" width="23.77734375" bestFit="1" customWidth="1"/>
    <col min="11" max="11" width="25.109375" bestFit="1" customWidth="1"/>
    <col min="12" max="12" width="15.33203125" bestFit="1" customWidth="1"/>
    <col min="13" max="13" width="18.21875" bestFit="1" customWidth="1"/>
    <col min="14" max="14" width="25.109375" bestFit="1" customWidth="1"/>
    <col min="15" max="15" width="19.5546875" bestFit="1" customWidth="1"/>
    <col min="16" max="16" width="26.5546875" bestFit="1" customWidth="1"/>
    <col min="17" max="17" width="19.5546875" bestFit="1" customWidth="1"/>
    <col min="18" max="18" width="26.5546875" bestFit="1" customWidth="1"/>
    <col min="19" max="19" width="19.5546875" bestFit="1" customWidth="1"/>
    <col min="20" max="20" width="26.5546875" bestFit="1" customWidth="1"/>
    <col min="21" max="21" width="19.5546875" bestFit="1" customWidth="1"/>
    <col min="22" max="22" width="26.5546875" bestFit="1" customWidth="1"/>
    <col min="23" max="23" width="23.44140625" bestFit="1" customWidth="1"/>
    <col min="24" max="24" width="14.109375" bestFit="1" customWidth="1"/>
    <col min="25" max="25" width="18.77734375" bestFit="1" customWidth="1"/>
    <col min="26" max="26" width="23.44140625" bestFit="1" customWidth="1"/>
    <col min="27" max="27" width="9.88671875" bestFit="1" customWidth="1"/>
    <col min="28" max="28" width="23.33203125" bestFit="1" customWidth="1"/>
    <col min="29" max="29" width="23.44140625" bestFit="1" customWidth="1"/>
    <col min="30" max="30" width="9.88671875" bestFit="1" customWidth="1"/>
    <col min="31" max="31" width="23.33203125" bestFit="1" customWidth="1"/>
    <col min="32" max="32" width="23.44140625" bestFit="1" customWidth="1"/>
    <col min="33" max="33" width="9.88671875" bestFit="1" customWidth="1"/>
    <col min="34" max="34" width="23.33203125" bestFit="1" customWidth="1"/>
    <col min="35" max="35" width="23.44140625" bestFit="1" customWidth="1"/>
    <col min="36" max="36" width="9.88671875" bestFit="1" customWidth="1"/>
    <col min="37" max="37" width="23.33203125" bestFit="1" customWidth="1"/>
    <col min="38" max="38" width="18.33203125" bestFit="1" customWidth="1"/>
    <col min="39" max="39" width="14.33203125" bestFit="1" customWidth="1"/>
    <col min="40" max="40" width="18" bestFit="1" customWidth="1"/>
    <col min="41" max="41" width="14.33203125" bestFit="1" customWidth="1"/>
    <col min="42" max="42" width="8.5546875" bestFit="1" customWidth="1"/>
    <col min="43" max="43" width="20.6640625" bestFit="1" customWidth="1"/>
    <col min="44" max="44" width="26.21875" bestFit="1" customWidth="1"/>
    <col min="45" max="45" width="20.88671875" bestFit="1" customWidth="1"/>
    <col min="46" max="46" width="14.5546875" bestFit="1" customWidth="1"/>
    <col min="47" max="47" width="21.6640625" bestFit="1" customWidth="1"/>
    <col min="48" max="48" width="34.5546875" bestFit="1" customWidth="1"/>
    <col min="49" max="49" width="26.21875" bestFit="1" customWidth="1"/>
    <col min="50" max="50" width="24.5546875" bestFit="1" customWidth="1"/>
    <col min="51" max="51" width="20.21875" bestFit="1" customWidth="1"/>
    <col min="52" max="52" width="17.5546875" bestFit="1" customWidth="1"/>
  </cols>
  <sheetData>
    <row r="1" spans="1:52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110</v>
      </c>
      <c r="H1" s="13" t="s">
        <v>111</v>
      </c>
      <c r="I1" s="14" t="s">
        <v>6</v>
      </c>
      <c r="J1" s="14" t="s">
        <v>7</v>
      </c>
      <c r="K1" s="15" t="s">
        <v>105</v>
      </c>
      <c r="L1" s="16" t="s">
        <v>8</v>
      </c>
      <c r="M1" s="16" t="s">
        <v>9</v>
      </c>
      <c r="N1" s="14" t="s">
        <v>10</v>
      </c>
      <c r="O1" s="16" t="s">
        <v>11</v>
      </c>
      <c r="P1" s="14" t="s">
        <v>12</v>
      </c>
      <c r="Q1" s="16" t="s">
        <v>13</v>
      </c>
      <c r="R1" s="14" t="s">
        <v>14</v>
      </c>
      <c r="S1" s="14" t="s">
        <v>15</v>
      </c>
      <c r="T1" s="14" t="s">
        <v>16</v>
      </c>
      <c r="U1" s="14" t="s">
        <v>17</v>
      </c>
      <c r="V1" s="14" t="s">
        <v>18</v>
      </c>
      <c r="W1" s="16" t="s">
        <v>19</v>
      </c>
      <c r="X1" s="16" t="s">
        <v>20</v>
      </c>
      <c r="Y1" s="14" t="s">
        <v>21</v>
      </c>
      <c r="Z1" s="16" t="s">
        <v>22</v>
      </c>
      <c r="AA1" s="16" t="s">
        <v>23</v>
      </c>
      <c r="AB1" s="14" t="s">
        <v>24</v>
      </c>
      <c r="AC1" s="16" t="s">
        <v>25</v>
      </c>
      <c r="AD1" s="16" t="s">
        <v>26</v>
      </c>
      <c r="AE1" s="14" t="s">
        <v>27</v>
      </c>
      <c r="AF1" s="16" t="s">
        <v>28</v>
      </c>
      <c r="AG1" s="16" t="s">
        <v>29</v>
      </c>
      <c r="AH1" s="14" t="s">
        <v>30</v>
      </c>
      <c r="AI1" s="16" t="s">
        <v>31</v>
      </c>
      <c r="AJ1" s="16" t="s">
        <v>32</v>
      </c>
      <c r="AK1" s="14" t="s">
        <v>33</v>
      </c>
      <c r="AL1" s="14" t="s">
        <v>112</v>
      </c>
      <c r="AM1" s="14" t="s">
        <v>113</v>
      </c>
      <c r="AN1" s="13" t="s">
        <v>34</v>
      </c>
      <c r="AO1" s="16" t="s">
        <v>35</v>
      </c>
      <c r="AP1" s="16" t="s">
        <v>36</v>
      </c>
      <c r="AQ1" s="16" t="s">
        <v>106</v>
      </c>
      <c r="AR1" s="13" t="s">
        <v>109</v>
      </c>
      <c r="AS1" s="13" t="s">
        <v>107</v>
      </c>
      <c r="AT1" s="13" t="s">
        <v>119</v>
      </c>
      <c r="AU1" s="13" t="s">
        <v>108</v>
      </c>
      <c r="AV1" s="13" t="s">
        <v>117</v>
      </c>
      <c r="AW1" s="13" t="s">
        <v>114</v>
      </c>
      <c r="AX1" s="13" t="s">
        <v>115</v>
      </c>
      <c r="AY1" s="13" t="s">
        <v>116</v>
      </c>
      <c r="AZ1" s="17" t="s">
        <v>118</v>
      </c>
    </row>
    <row r="2" spans="1:52" x14ac:dyDescent="0.3">
      <c r="A2" s="18"/>
      <c r="B2" s="1"/>
      <c r="C2" s="19"/>
      <c r="D2" s="19"/>
      <c r="E2" s="19"/>
      <c r="F2" s="19"/>
      <c r="G2" s="1">
        <f>Table24[[#This Row],[Contenedores Embarque]]+Table24[[#This Row],[Contenedores Desembarque]]</f>
        <v>0</v>
      </c>
      <c r="H2" s="1" t="str" cm="1">
        <f t="array" ref="H2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2" s="20"/>
      <c r="J2" s="21"/>
      <c r="K2" s="7">
        <f>DATEDIF(Table24[[#This Row],[Creación Solicitud]], Table24[[#This Row],[Aprobación solicitud?]], "d")</f>
        <v>0</v>
      </c>
      <c r="L2" s="22"/>
      <c r="M2" s="3"/>
      <c r="N2" s="2"/>
      <c r="O2" s="3"/>
      <c r="P2" s="2"/>
      <c r="Q2" s="3"/>
      <c r="R2" s="2"/>
      <c r="S2" s="2"/>
      <c r="T2" s="2"/>
      <c r="U2" s="2"/>
      <c r="V2" s="2"/>
      <c r="W2" s="3"/>
      <c r="X2" s="3"/>
      <c r="Y2" s="2"/>
      <c r="Z2" s="3"/>
      <c r="AA2" s="3"/>
      <c r="AB2" s="2"/>
      <c r="AC2" s="3"/>
      <c r="AD2" s="3"/>
      <c r="AE2" s="2"/>
      <c r="AF2" s="3"/>
      <c r="AG2" s="3"/>
      <c r="AH2" s="2"/>
      <c r="AI2" s="3"/>
      <c r="AJ2" s="3"/>
      <c r="AK2" s="2"/>
      <c r="AL2" s="3">
        <f>Table24[[#This Row],[Inicio atención nave 1]]</f>
        <v>0</v>
      </c>
      <c r="AM2" s="3">
        <f>IF(Table24[[#This Row],[Inicio atención nave 5]]&lt;&gt;"", Table24[[#This Row],[Inicio atención nave 5]],
   IF(Table24[[#This Row],[Inicio atención nave 4]]&lt;&gt;"",Table24[[#This Row],[Inicio atención nave 4]],
      IF(Table24[[#This Row],[Inicio atención nave 3]]&lt;&gt;"", Table24[[#This Row],[Inicio atención nave 3]],
         IF(Table24[[#This Row],[Inicio atención nave 2]]&lt;&gt;"", Table24[[#This Row],[Inicio atención nave 2]],
            Table24[[#This Row],[Inicio atención nave 1]]
         )
      )
   )
)</f>
        <v>0</v>
      </c>
      <c r="AN2" s="3"/>
      <c r="AO2" s="3"/>
      <c r="AP2" s="3"/>
      <c r="AQ2" s="11">
        <f>(Table24[[#This Row],[ETA Inicial]]-Table24[[#This Row],[ATA]])*24</f>
        <v>0</v>
      </c>
      <c r="AR2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2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2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2" s="7">
        <f>COUNTA(Table24[[#This Row],[ETA Modificado]],Table24[[#This Row],[ETA Modificado 2]], Table24[[#This Row],[ETA Modificado 3]], Table24[[#This Row],[ETA Modificado 4]], Table24[[#This Row],[ETA Modificado 5]])</f>
        <v>0</v>
      </c>
      <c r="AV2" s="7">
        <f>COUNTA(Table24[[#This Row],[Inicio atención nave 2]], Table24[[#This Row],[Inicio atención nave 3]], Table24[[#This Row],[Inicio atención nave 4]], Table24[[#This Row],[Inicio atención nave 5]])</f>
        <v>0</v>
      </c>
      <c r="AW2" s="10">
        <f>ABS((Table24[[#This Row],[ETA Planificado]]-Table24[[#This Row],[ETA Inicial]])*24)</f>
        <v>0</v>
      </c>
      <c r="AX2" s="7">
        <f>ABS((Table24[[#This Row],[ETA Real]]-Table24[[#This Row],[ETA Planificado]])*24)</f>
        <v>0</v>
      </c>
      <c r="AY2" s="7">
        <f>ABS((Table24[[#This Row],[ETA Real]]-Table24[[#This Row],[ETA Inicial]])*24)</f>
        <v>0</v>
      </c>
      <c r="AZ2" s="7">
        <f>(Table24[[#This Row],[Último ETD]]-Table24[[#This Row],[ETA Real]])*24</f>
        <v>0</v>
      </c>
    </row>
    <row r="3" spans="1:52" x14ac:dyDescent="0.3">
      <c r="A3" s="18"/>
      <c r="B3" s="1"/>
      <c r="C3" s="19"/>
      <c r="D3" s="19"/>
      <c r="E3" s="19"/>
      <c r="F3" s="19"/>
      <c r="G3" s="1">
        <f>Table24[[#This Row],[Contenedores Embarque]]+Table24[[#This Row],[Contenedores Desembarque]]</f>
        <v>0</v>
      </c>
      <c r="H3" s="1" t="str" cm="1">
        <f t="array" ref="H3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3" s="20"/>
      <c r="J3" s="21"/>
      <c r="K3" s="7">
        <f>DATEDIF(Table24[[#This Row],[Creación Solicitud]], Table24[[#This Row],[Aprobación solicitud?]], "d")</f>
        <v>0</v>
      </c>
      <c r="L3" s="22"/>
      <c r="M3" s="3"/>
      <c r="N3" s="2"/>
      <c r="O3" s="3"/>
      <c r="P3" s="2"/>
      <c r="Q3" s="3"/>
      <c r="R3" s="2"/>
      <c r="S3" s="2"/>
      <c r="T3" s="2"/>
      <c r="U3" s="2"/>
      <c r="V3" s="2"/>
      <c r="W3" s="3"/>
      <c r="X3" s="3"/>
      <c r="Y3" s="2"/>
      <c r="Z3" s="3"/>
      <c r="AA3" s="3"/>
      <c r="AB3" s="2"/>
      <c r="AC3" s="3"/>
      <c r="AD3" s="3"/>
      <c r="AE3" s="2"/>
      <c r="AF3" s="3"/>
      <c r="AG3" s="3"/>
      <c r="AH3" s="2"/>
      <c r="AI3" s="3"/>
      <c r="AJ3" s="3"/>
      <c r="AK3" s="2"/>
      <c r="AL3" s="3"/>
      <c r="AM3" s="3"/>
      <c r="AN3" s="3"/>
      <c r="AO3" s="3"/>
      <c r="AP3" s="3"/>
      <c r="AQ3" s="11">
        <f>(Table24[[#This Row],[ETA Inicial]]-Table24[[#This Row],[ATA]])*24</f>
        <v>0</v>
      </c>
      <c r="AR3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3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3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3" s="7">
        <f>COUNTA(Table24[[#This Row],[ETA Modificado]],Table24[[#This Row],[ETA Modificado 2]], Table24[[#This Row],[ETA Modificado 3]], Table24[[#This Row],[ETA Modificado 4]], Table24[[#This Row],[ETA Modificado 5]])</f>
        <v>0</v>
      </c>
      <c r="AV3" s="7">
        <f>COUNTA(Table24[[#This Row],[Inicio atención nave 2]], Table24[[#This Row],[Inicio atención nave 3]], Table24[[#This Row],[Inicio atención nave 4]], Table24[[#This Row],[Inicio atención nave 5]])</f>
        <v>0</v>
      </c>
      <c r="AW3" s="10">
        <f>ABS((Table24[[#This Row],[ETA Planificado]]-Table24[[#This Row],[ETA Inicial]])*24)</f>
        <v>0</v>
      </c>
      <c r="AX3" s="7">
        <f>ABS((Table24[[#This Row],[ETA Real]]-Table24[[#This Row],[ETA Planificado]])*24)</f>
        <v>0</v>
      </c>
      <c r="AY3" s="7">
        <f>ABS((Table24[[#This Row],[ETA Real]]-Table24[[#This Row],[ETA Inicial]])*24)</f>
        <v>0</v>
      </c>
      <c r="AZ3" s="7">
        <f>(Table24[[#This Row],[Último ETD]]-Table24[[#This Row],[ETA Real]])*24</f>
        <v>0</v>
      </c>
    </row>
    <row r="4" spans="1:52" x14ac:dyDescent="0.3">
      <c r="A4" s="18"/>
      <c r="B4" s="1"/>
      <c r="C4" s="19"/>
      <c r="D4" s="19"/>
      <c r="E4" s="19"/>
      <c r="F4" s="19"/>
      <c r="G4" s="1">
        <f>Table24[[#This Row],[Contenedores Embarque]]+Table24[[#This Row],[Contenedores Desembarque]]</f>
        <v>0</v>
      </c>
      <c r="H4" s="1" t="str" cm="1">
        <f t="array" ref="H4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4" s="20"/>
      <c r="J4" s="21"/>
      <c r="K4" s="7">
        <f>DATEDIF(Table24[[#This Row],[Creación Solicitud]], Table24[[#This Row],[Aprobación solicitud?]], "d")</f>
        <v>0</v>
      </c>
      <c r="L4" s="22"/>
      <c r="M4" s="3"/>
      <c r="N4" s="2"/>
      <c r="O4" s="3"/>
      <c r="P4" s="2"/>
      <c r="Q4" s="3"/>
      <c r="R4" s="2"/>
      <c r="S4" s="2"/>
      <c r="T4" s="2"/>
      <c r="U4" s="2"/>
      <c r="V4" s="2"/>
      <c r="W4" s="3"/>
      <c r="X4" s="3"/>
      <c r="Y4" s="2"/>
      <c r="Z4" s="3"/>
      <c r="AA4" s="3"/>
      <c r="AB4" s="2"/>
      <c r="AC4" s="3"/>
      <c r="AD4" s="3"/>
      <c r="AE4" s="2"/>
      <c r="AF4" s="3"/>
      <c r="AG4" s="3"/>
      <c r="AH4" s="2"/>
      <c r="AI4" s="3"/>
      <c r="AJ4" s="3"/>
      <c r="AK4" s="2"/>
      <c r="AL4" s="3"/>
      <c r="AM4" s="3"/>
      <c r="AN4" s="3"/>
      <c r="AO4" s="3"/>
      <c r="AP4" s="3"/>
      <c r="AQ4" s="11">
        <f>(Table24[[#This Row],[ETA Inicial]]-Table24[[#This Row],[ATA]])*24</f>
        <v>0</v>
      </c>
      <c r="AR4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4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4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4" s="7">
        <f>COUNTA(Table24[[#This Row],[ETA Modificado]],Table24[[#This Row],[ETA Modificado 2]], Table24[[#This Row],[ETA Modificado 3]], Table24[[#This Row],[ETA Modificado 4]], Table24[[#This Row],[ETA Modificado 5]])</f>
        <v>0</v>
      </c>
      <c r="AV4" s="7">
        <f>COUNTA(Table24[[#This Row],[Inicio atención nave 2]], Table24[[#This Row],[Inicio atención nave 3]], Table24[[#This Row],[Inicio atención nave 4]], Table24[[#This Row],[Inicio atención nave 5]])</f>
        <v>0</v>
      </c>
      <c r="AW4" s="10">
        <f>ABS((Table24[[#This Row],[ETA Planificado]]-Table24[[#This Row],[ETA Inicial]])*24)</f>
        <v>0</v>
      </c>
      <c r="AX4" s="7">
        <f>ABS((Table24[[#This Row],[ETA Real]]-Table24[[#This Row],[ETA Planificado]])*24)</f>
        <v>0</v>
      </c>
      <c r="AY4" s="7">
        <f>ABS((Table24[[#This Row],[ETA Real]]-Table24[[#This Row],[ETA Inicial]])*24)</f>
        <v>0</v>
      </c>
      <c r="AZ4" s="7">
        <f>(Table24[[#This Row],[Último ETD]]-Table24[[#This Row],[ETA Real]])*24</f>
        <v>0</v>
      </c>
    </row>
    <row r="5" spans="1:52" x14ac:dyDescent="0.3">
      <c r="A5" s="18"/>
      <c r="B5" s="1"/>
      <c r="C5" s="19"/>
      <c r="D5" s="19"/>
      <c r="E5" s="19"/>
      <c r="F5" s="19"/>
      <c r="G5" s="1">
        <f>Table24[[#This Row],[Contenedores Embarque]]+Table24[[#This Row],[Contenedores Desembarque]]</f>
        <v>0</v>
      </c>
      <c r="H5" s="1" t="str" cm="1">
        <f t="array" ref="H5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5" s="20"/>
      <c r="J5" s="21"/>
      <c r="K5" s="7">
        <f>DATEDIF(Table24[[#This Row],[Creación Solicitud]], Table24[[#This Row],[Aprobación solicitud?]], "d")</f>
        <v>0</v>
      </c>
      <c r="L5" s="22"/>
      <c r="M5" s="3"/>
      <c r="N5" s="2"/>
      <c r="O5" s="3"/>
      <c r="P5" s="2"/>
      <c r="Q5" s="3"/>
      <c r="R5" s="2"/>
      <c r="S5" s="2"/>
      <c r="T5" s="2"/>
      <c r="U5" s="2"/>
      <c r="V5" s="2"/>
      <c r="W5" s="3"/>
      <c r="X5" s="3"/>
      <c r="Y5" s="2"/>
      <c r="Z5" s="3"/>
      <c r="AA5" s="3"/>
      <c r="AB5" s="2"/>
      <c r="AC5" s="3"/>
      <c r="AD5" s="3"/>
      <c r="AE5" s="2"/>
      <c r="AF5" s="3"/>
      <c r="AG5" s="3"/>
      <c r="AH5" s="2"/>
      <c r="AI5" s="3"/>
      <c r="AJ5" s="3"/>
      <c r="AK5" s="2"/>
      <c r="AL5" s="3"/>
      <c r="AM5" s="3"/>
      <c r="AN5" s="3"/>
      <c r="AO5" s="3"/>
      <c r="AP5" s="3"/>
      <c r="AQ5" s="11">
        <f>(Table24[[#This Row],[ETA Inicial]]-Table24[[#This Row],[ATA]])*24</f>
        <v>0</v>
      </c>
      <c r="AR5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5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5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5" s="7">
        <f>COUNTA(Table24[[#This Row],[ETA Modificado]],Table24[[#This Row],[ETA Modificado 2]], Table24[[#This Row],[ETA Modificado 3]], Table24[[#This Row],[ETA Modificado 4]], Table24[[#This Row],[ETA Modificado 5]])</f>
        <v>0</v>
      </c>
      <c r="AV5" s="7">
        <f>COUNTA(Table24[[#This Row],[Inicio atención nave 2]], Table24[[#This Row],[Inicio atención nave 3]], Table24[[#This Row],[Inicio atención nave 4]], Table24[[#This Row],[Inicio atención nave 5]])</f>
        <v>0</v>
      </c>
      <c r="AW5" s="10">
        <f>ABS((Table24[[#This Row],[ETA Planificado]]-Table24[[#This Row],[ETA Inicial]])*24)</f>
        <v>0</v>
      </c>
      <c r="AX5" s="7">
        <f>ABS((Table24[[#This Row],[ETA Real]]-Table24[[#This Row],[ETA Planificado]])*24)</f>
        <v>0</v>
      </c>
      <c r="AY5" s="7">
        <f>ABS((Table24[[#This Row],[ETA Real]]-Table24[[#This Row],[ETA Inicial]])*24)</f>
        <v>0</v>
      </c>
      <c r="AZ5" s="7">
        <f>(Table24[[#This Row],[Último ETD]]-Table24[[#This Row],[ETA Real]])*24</f>
        <v>0</v>
      </c>
    </row>
    <row r="6" spans="1:52" x14ac:dyDescent="0.3">
      <c r="A6" s="18"/>
      <c r="B6" s="1"/>
      <c r="C6" s="19"/>
      <c r="D6" s="19"/>
      <c r="E6" s="19"/>
      <c r="F6" s="19"/>
      <c r="G6" s="1">
        <f>Table24[[#This Row],[Contenedores Embarque]]+Table24[[#This Row],[Contenedores Desembarque]]</f>
        <v>0</v>
      </c>
      <c r="H6" s="1" t="str" cm="1">
        <f t="array" ref="H6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6" s="20"/>
      <c r="J6" s="21"/>
      <c r="K6" s="7">
        <f>DATEDIF(Table24[[#This Row],[Creación Solicitud]], Table24[[#This Row],[Aprobación solicitud?]], "d")</f>
        <v>0</v>
      </c>
      <c r="L6" s="22"/>
      <c r="M6" s="3"/>
      <c r="N6" s="2"/>
      <c r="O6" s="3"/>
      <c r="P6" s="2"/>
      <c r="Q6" s="3"/>
      <c r="R6" s="2"/>
      <c r="S6" s="2"/>
      <c r="T6" s="2"/>
      <c r="U6" s="2"/>
      <c r="V6" s="2"/>
      <c r="W6" s="3"/>
      <c r="X6" s="3"/>
      <c r="Y6" s="2"/>
      <c r="Z6" s="3"/>
      <c r="AA6" s="3"/>
      <c r="AB6" s="2"/>
      <c r="AC6" s="3"/>
      <c r="AD6" s="3"/>
      <c r="AE6" s="2"/>
      <c r="AF6" s="3"/>
      <c r="AG6" s="3"/>
      <c r="AH6" s="2"/>
      <c r="AI6" s="3"/>
      <c r="AJ6" s="3"/>
      <c r="AK6" s="2"/>
      <c r="AL6" s="3"/>
      <c r="AM6" s="3"/>
      <c r="AN6" s="3"/>
      <c r="AO6" s="3"/>
      <c r="AP6" s="3"/>
      <c r="AQ6" s="11">
        <f>(Table24[[#This Row],[ETA Inicial]]-Table24[[#This Row],[ATA]])*24</f>
        <v>0</v>
      </c>
      <c r="AR6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6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6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6" s="7">
        <f>COUNTA(Table24[[#This Row],[ETA Modificado]],Table24[[#This Row],[ETA Modificado 2]], Table24[[#This Row],[ETA Modificado 3]], Table24[[#This Row],[ETA Modificado 4]], Table24[[#This Row],[ETA Modificado 5]])</f>
        <v>0</v>
      </c>
      <c r="AV6" s="7">
        <f>COUNTA(Table24[[#This Row],[Inicio atención nave 2]], Table24[[#This Row],[Inicio atención nave 3]], Table24[[#This Row],[Inicio atención nave 4]], Table24[[#This Row],[Inicio atención nave 5]])</f>
        <v>0</v>
      </c>
      <c r="AW6" s="10">
        <f>ABS((Table24[[#This Row],[ETA Planificado]]-Table24[[#This Row],[ETA Inicial]])*24)</f>
        <v>0</v>
      </c>
      <c r="AX6" s="7">
        <f>ABS((Table24[[#This Row],[ETA Real]]-Table24[[#This Row],[ETA Planificado]])*24)</f>
        <v>0</v>
      </c>
      <c r="AY6" s="7">
        <f>ABS((Table24[[#This Row],[ETA Real]]-Table24[[#This Row],[ETA Inicial]])*24)</f>
        <v>0</v>
      </c>
      <c r="AZ6" s="7">
        <f>(Table24[[#This Row],[Último ETD]]-Table24[[#This Row],[ETA Real]])*24</f>
        <v>0</v>
      </c>
    </row>
    <row r="7" spans="1:52" x14ac:dyDescent="0.3">
      <c r="A7" s="18"/>
      <c r="B7" s="1"/>
      <c r="C7" s="19"/>
      <c r="D7" s="19"/>
      <c r="E7" s="19"/>
      <c r="F7" s="19"/>
      <c r="G7" s="1">
        <f>Table24[[#This Row],[Contenedores Embarque]]+Table24[[#This Row],[Contenedores Desembarque]]</f>
        <v>0</v>
      </c>
      <c r="H7" s="1" t="str" cm="1">
        <f t="array" ref="H7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7" s="20"/>
      <c r="J7" s="21"/>
      <c r="K7" s="7">
        <f>DATEDIF(Table24[[#This Row],[Creación Solicitud]], Table24[[#This Row],[Aprobación solicitud?]], "d")</f>
        <v>0</v>
      </c>
      <c r="L7" s="22"/>
      <c r="M7" s="3"/>
      <c r="N7" s="2"/>
      <c r="O7" s="3"/>
      <c r="P7" s="2"/>
      <c r="Q7" s="3"/>
      <c r="R7" s="2"/>
      <c r="S7" s="2"/>
      <c r="T7" s="2"/>
      <c r="U7" s="2"/>
      <c r="V7" s="2"/>
      <c r="W7" s="3"/>
      <c r="X7" s="3"/>
      <c r="Y7" s="2"/>
      <c r="Z7" s="3"/>
      <c r="AA7" s="3"/>
      <c r="AB7" s="2"/>
      <c r="AC7" s="3"/>
      <c r="AD7" s="3"/>
      <c r="AE7" s="2"/>
      <c r="AF7" s="3"/>
      <c r="AG7" s="3"/>
      <c r="AH7" s="2"/>
      <c r="AI7" s="3"/>
      <c r="AJ7" s="3"/>
      <c r="AK7" s="2"/>
      <c r="AL7" s="3"/>
      <c r="AM7" s="3"/>
      <c r="AN7" s="3"/>
      <c r="AO7" s="3"/>
      <c r="AP7" s="3"/>
      <c r="AQ7" s="11">
        <f>(Table24[[#This Row],[ETA Inicial]]-Table24[[#This Row],[ATA]])*24</f>
        <v>0</v>
      </c>
      <c r="AR7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7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7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7" s="7">
        <f>COUNTA(Table24[[#This Row],[ETA Modificado]],Table24[[#This Row],[ETA Modificado 2]], Table24[[#This Row],[ETA Modificado 3]], Table24[[#This Row],[ETA Modificado 4]], Table24[[#This Row],[ETA Modificado 5]])</f>
        <v>0</v>
      </c>
      <c r="AV7" s="7">
        <f>COUNTA(Table24[[#This Row],[Inicio atención nave 2]], Table24[[#This Row],[Inicio atención nave 3]], Table24[[#This Row],[Inicio atención nave 4]], Table24[[#This Row],[Inicio atención nave 5]])</f>
        <v>0</v>
      </c>
      <c r="AW7" s="10">
        <f>ABS((Table24[[#This Row],[ETA Planificado]]-Table24[[#This Row],[ETA Inicial]])*24)</f>
        <v>0</v>
      </c>
      <c r="AX7" s="7">
        <f>ABS((Table24[[#This Row],[ETA Real]]-Table24[[#This Row],[ETA Planificado]])*24)</f>
        <v>0</v>
      </c>
      <c r="AY7" s="7">
        <f>ABS((Table24[[#This Row],[ETA Real]]-Table24[[#This Row],[ETA Inicial]])*24)</f>
        <v>0</v>
      </c>
      <c r="AZ7" s="7">
        <f>(Table24[[#This Row],[Último ETD]]-Table24[[#This Row],[ETA Real]])*24</f>
        <v>0</v>
      </c>
    </row>
    <row r="8" spans="1:52" x14ac:dyDescent="0.3">
      <c r="A8" s="18"/>
      <c r="B8" s="1"/>
      <c r="C8" s="19"/>
      <c r="D8" s="19"/>
      <c r="E8" s="19"/>
      <c r="F8" s="19"/>
      <c r="G8" s="1">
        <f>Table24[[#This Row],[Contenedores Embarque]]+Table24[[#This Row],[Contenedores Desembarque]]</f>
        <v>0</v>
      </c>
      <c r="H8" s="1" t="str" cm="1">
        <f t="array" ref="H8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8" s="20"/>
      <c r="J8" s="21"/>
      <c r="K8" s="7">
        <f>DATEDIF(Table24[[#This Row],[Creación Solicitud]], Table24[[#This Row],[Aprobación solicitud?]], "d")</f>
        <v>0</v>
      </c>
      <c r="L8" s="22"/>
      <c r="M8" s="3"/>
      <c r="N8" s="2"/>
      <c r="O8" s="3"/>
      <c r="P8" s="2"/>
      <c r="Q8" s="3"/>
      <c r="R8" s="2"/>
      <c r="S8" s="2"/>
      <c r="T8" s="2"/>
      <c r="U8" s="2"/>
      <c r="V8" s="2"/>
      <c r="W8" s="3"/>
      <c r="X8" s="3"/>
      <c r="Y8" s="2"/>
      <c r="Z8" s="3"/>
      <c r="AA8" s="3"/>
      <c r="AB8" s="2"/>
      <c r="AC8" s="3"/>
      <c r="AD8" s="3"/>
      <c r="AE8" s="2"/>
      <c r="AF8" s="3"/>
      <c r="AG8" s="3"/>
      <c r="AH8" s="2"/>
      <c r="AI8" s="3"/>
      <c r="AJ8" s="3"/>
      <c r="AK8" s="2"/>
      <c r="AL8" s="3"/>
      <c r="AM8" s="3"/>
      <c r="AN8" s="3"/>
      <c r="AO8" s="3"/>
      <c r="AP8" s="3"/>
      <c r="AQ8" s="11">
        <f>(Table24[[#This Row],[ETA Inicial]]-Table24[[#This Row],[ATA]])*24</f>
        <v>0</v>
      </c>
      <c r="AR8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8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8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8" s="7">
        <f>COUNTA(Table24[[#This Row],[ETA Modificado]],Table24[[#This Row],[ETA Modificado 2]], Table24[[#This Row],[ETA Modificado 3]], Table24[[#This Row],[ETA Modificado 4]], Table24[[#This Row],[ETA Modificado 5]])</f>
        <v>0</v>
      </c>
      <c r="AV8" s="7">
        <f>COUNTA(Table24[[#This Row],[Inicio atención nave 2]], Table24[[#This Row],[Inicio atención nave 3]], Table24[[#This Row],[Inicio atención nave 4]], Table24[[#This Row],[Inicio atención nave 5]])</f>
        <v>0</v>
      </c>
      <c r="AW8" s="10">
        <f>ABS((Table24[[#This Row],[ETA Planificado]]-Table24[[#This Row],[ETA Inicial]])*24)</f>
        <v>0</v>
      </c>
      <c r="AX8" s="7">
        <f>ABS((Table24[[#This Row],[ETA Real]]-Table24[[#This Row],[ETA Planificado]])*24)</f>
        <v>0</v>
      </c>
      <c r="AY8" s="7">
        <f>ABS((Table24[[#This Row],[ETA Real]]-Table24[[#This Row],[ETA Inicial]])*24)</f>
        <v>0</v>
      </c>
      <c r="AZ8" s="7">
        <f>(Table24[[#This Row],[Último ETD]]-Table24[[#This Row],[ETA Real]])*24</f>
        <v>0</v>
      </c>
    </row>
    <row r="9" spans="1:52" x14ac:dyDescent="0.3">
      <c r="A9" s="18"/>
      <c r="B9" s="1"/>
      <c r="C9" s="19"/>
      <c r="D9" s="19"/>
      <c r="E9" s="19"/>
      <c r="F9" s="19"/>
      <c r="G9" s="1">
        <f>Table24[[#This Row],[Contenedores Embarque]]+Table24[[#This Row],[Contenedores Desembarque]]</f>
        <v>0</v>
      </c>
      <c r="H9" s="1" t="str" cm="1">
        <f t="array" ref="H9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9" s="20"/>
      <c r="J9" s="21"/>
      <c r="K9" s="7">
        <f>DATEDIF(Table24[[#This Row],[Creación Solicitud]], Table24[[#This Row],[Aprobación solicitud?]], "d")</f>
        <v>0</v>
      </c>
      <c r="L9" s="22"/>
      <c r="M9" s="3"/>
      <c r="N9" s="2"/>
      <c r="O9" s="3"/>
      <c r="P9" s="2"/>
      <c r="Q9" s="3"/>
      <c r="R9" s="2"/>
      <c r="S9" s="2"/>
      <c r="T9" s="2"/>
      <c r="U9" s="2"/>
      <c r="V9" s="2"/>
      <c r="W9" s="3"/>
      <c r="X9" s="3"/>
      <c r="Y9" s="2"/>
      <c r="Z9" s="3"/>
      <c r="AA9" s="3"/>
      <c r="AB9" s="2"/>
      <c r="AC9" s="3"/>
      <c r="AD9" s="3"/>
      <c r="AE9" s="2"/>
      <c r="AF9" s="3"/>
      <c r="AG9" s="3"/>
      <c r="AH9" s="2"/>
      <c r="AI9" s="3"/>
      <c r="AJ9" s="3"/>
      <c r="AK9" s="2"/>
      <c r="AL9" s="3"/>
      <c r="AM9" s="3"/>
      <c r="AN9" s="3"/>
      <c r="AO9" s="3"/>
      <c r="AP9" s="3"/>
      <c r="AQ9" s="11">
        <f>(Table24[[#This Row],[ETA Inicial]]-Table24[[#This Row],[ATA]])*24</f>
        <v>0</v>
      </c>
      <c r="AR9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9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9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9" s="7">
        <f>COUNTA(Table24[[#This Row],[ETA Modificado]],Table24[[#This Row],[ETA Modificado 2]], Table24[[#This Row],[ETA Modificado 3]], Table24[[#This Row],[ETA Modificado 4]], Table24[[#This Row],[ETA Modificado 5]])</f>
        <v>0</v>
      </c>
      <c r="AV9" s="7">
        <f>COUNTA(Table24[[#This Row],[Inicio atención nave 2]], Table24[[#This Row],[Inicio atención nave 3]], Table24[[#This Row],[Inicio atención nave 4]], Table24[[#This Row],[Inicio atención nave 5]])</f>
        <v>0</v>
      </c>
      <c r="AW9" s="10">
        <f>ABS((Table24[[#This Row],[ETA Planificado]]-Table24[[#This Row],[ETA Inicial]])*24)</f>
        <v>0</v>
      </c>
      <c r="AX9" s="7">
        <f>ABS((Table24[[#This Row],[ETA Real]]-Table24[[#This Row],[ETA Planificado]])*24)</f>
        <v>0</v>
      </c>
      <c r="AY9" s="7">
        <f>ABS((Table24[[#This Row],[ETA Real]]-Table24[[#This Row],[ETA Inicial]])*24)</f>
        <v>0</v>
      </c>
      <c r="AZ9" s="7">
        <f>(Table24[[#This Row],[Último ETD]]-Table24[[#This Row],[ETA Real]])*24</f>
        <v>0</v>
      </c>
    </row>
    <row r="10" spans="1:52" x14ac:dyDescent="0.3">
      <c r="A10" s="18"/>
      <c r="B10" s="1"/>
      <c r="C10" s="19"/>
      <c r="D10" s="19"/>
      <c r="E10" s="19"/>
      <c r="F10" s="19"/>
      <c r="G10" s="1">
        <f>Table24[[#This Row],[Contenedores Embarque]]+Table24[[#This Row],[Contenedores Desembarque]]</f>
        <v>0</v>
      </c>
      <c r="H10" s="1" t="str" cm="1">
        <f t="array" ref="H10">_xlfn.IFS(Table24[[#This Row],[Total de Movimientos]]&lt;=500, "A",
   Table24[[#This Row],[Total de Movimientos]]&lt;=1500, "B",
 Table24[[#This Row],[Total de Movimientos]]&lt;=2500, "C",
    Table24[[#This Row],[Total de Movimientos]]&lt;=4000, "D",
    Table24[[#This Row],[Total de Movimientos]]&gt;4000, "E"
)</f>
        <v>A</v>
      </c>
      <c r="I10" s="20"/>
      <c r="J10" s="21"/>
      <c r="K10" s="7">
        <f>DATEDIF(Table24[[#This Row],[Creación Solicitud]], Table24[[#This Row],[Aprobación solicitud?]], "d")</f>
        <v>0</v>
      </c>
      <c r="L10" s="22"/>
      <c r="M10" s="3"/>
      <c r="N10" s="2"/>
      <c r="O10" s="3"/>
      <c r="P10" s="2"/>
      <c r="Q10" s="3"/>
      <c r="R10" s="2"/>
      <c r="S10" s="2"/>
      <c r="T10" s="2"/>
      <c r="U10" s="2"/>
      <c r="V10" s="2"/>
      <c r="W10" s="3"/>
      <c r="X10" s="3"/>
      <c r="Y10" s="2"/>
      <c r="Z10" s="3"/>
      <c r="AA10" s="3"/>
      <c r="AB10" s="2"/>
      <c r="AC10" s="3"/>
      <c r="AD10" s="3"/>
      <c r="AE10" s="2"/>
      <c r="AF10" s="3"/>
      <c r="AG10" s="3"/>
      <c r="AH10" s="2"/>
      <c r="AI10" s="3"/>
      <c r="AJ10" s="3"/>
      <c r="AK10" s="2"/>
      <c r="AL10" s="3"/>
      <c r="AM10" s="3"/>
      <c r="AN10" s="3"/>
      <c r="AO10" s="3"/>
      <c r="AP10" s="3"/>
      <c r="AQ10" s="11">
        <f>(Table24[[#This Row],[ETA Inicial]]-Table24[[#This Row],[ATA]])*24</f>
        <v>0</v>
      </c>
      <c r="AR10" s="9">
        <f>IF(Table24[[#This Row],[ETA Modificado 5]]&lt;&gt;"", (Table24[[#This Row],[ATA]]-Table24[[#This Row],[ETA Modificado 5]])*24, IF(Table24[[#This Row],[ETA Modificado 4]]&lt;&gt;"", (Table24[[#This Row],[ATA]]-Table24[[#This Row],[ETA Modificado 4]])*24, IF(Table24[[#This Row],[ETA Modificado 3]]&lt;&gt;"", (Table24[[#This Row],[ATA]]-Table24[[#This Row],[ETA Modificado 3]])*24, IF(Table24[[#This Row],[ETA Modificado 2]]&lt;&gt;"", (Table24[[#This Row],[ATA]]-Table24[[#This Row],[ETA Modificado 2]])*24, IF(Table24[[#This Row],[ETA Modificado]]&lt;&gt;"", (Table24[[#This Row],[ATA]]-Table24[[#This Row],[ETA Modificado]])*24,(Table24[[#This Row],[ATA]]-Table24[[#This Row],[ETA Inicial]])*24)))))</f>
        <v>0</v>
      </c>
      <c r="AS10" s="8">
        <f>IF(Table24[[#This Row],[ETD 5]]&lt;&gt;"", (Table24[[#This Row],[ETD 5]]-Table24[[#This Row],[ETD Inicial]])*24,
   IF(Table24[[#This Row],[ETD 4]]&lt;&gt;"", (Table24[[#This Row],[ETD 4]]-Table24[[#This Row],[ETD Inicial]])*24,
   IF(Table24[[#This Row],[ETD 3]]&lt;&gt;"", (Table24[[#This Row],[ETD 3]]-Table24[[#This Row],[ETD Inicial]])*24,
   IF(Table24[[#This Row],[ETD 2]]&lt;&gt;"", (Table24[[#This Row],[ETD 2]]-Table24[[#This Row],[ETD Inicial]])*24,
   (Table24[[#This Row],[ETD Inicial]]-Table24[[#This Row],[ETD Inicial]])*24))))</f>
        <v>0</v>
      </c>
      <c r="AT10" s="3">
        <f>IF(Table24[[#This Row],[ETD 5]]&lt;&gt;"", Table24[[#This Row],[ETD 5]],
   IF(Table24[[#This Row],[ETD 4]]&lt;&gt;"", Table24[[#This Row],[ETD 4]],
      IF(Table24[[#This Row],[ETD 3]]&lt;&gt;"", Table24[[#This Row],[ETD 3]],
         IF(Table24[[#This Row],[ETD 2]]&lt;&gt;"", Table24[[#This Row],[ETD 2]],
            Table24[[#This Row],[ETD Inicial]]
         )
      )
   )
)</f>
        <v>0</v>
      </c>
      <c r="AU10" s="7">
        <f>COUNTA(Table24[[#This Row],[ETA Modificado]],Table24[[#This Row],[ETA Modificado 2]], Table24[[#This Row],[ETA Modificado 3]], Table24[[#This Row],[ETA Modificado 4]], Table24[[#This Row],[ETA Modificado 5]])</f>
        <v>0</v>
      </c>
      <c r="AV10" s="7">
        <f>COUNTA(Table24[[#This Row],[Inicio atención nave 2]], Table24[[#This Row],[Inicio atención nave 3]], Table24[[#This Row],[Inicio atención nave 4]], Table24[[#This Row],[Inicio atención nave 5]])</f>
        <v>0</v>
      </c>
      <c r="AW10" s="10">
        <f>ABS((Table24[[#This Row],[ETA Planificado]]-Table24[[#This Row],[ETA Inicial]])*24)</f>
        <v>0</v>
      </c>
      <c r="AX10" s="7">
        <f>ABS((Table24[[#This Row],[ETA Real]]-Table24[[#This Row],[ETA Planificado]])*24)</f>
        <v>0</v>
      </c>
      <c r="AY10" s="7">
        <f>ABS((Table24[[#This Row],[ETA Real]]-Table24[[#This Row],[ETA Inicial]])*24)</f>
        <v>0</v>
      </c>
      <c r="AZ10" s="7">
        <f>(Table24[[#This Row],[Último ETD]]-Table24[[#This Row],[ETA Real]])*24</f>
        <v>0</v>
      </c>
    </row>
    <row r="32" spans="2:11" x14ac:dyDescent="0.3">
      <c r="B32" s="18" t="s">
        <v>120</v>
      </c>
      <c r="C32" s="19">
        <v>9806055</v>
      </c>
      <c r="D32" s="19" t="s">
        <v>38</v>
      </c>
      <c r="E32" s="19">
        <v>2300</v>
      </c>
      <c r="F32" s="19">
        <v>1500</v>
      </c>
      <c r="G32" s="19" t="e">
        <f>[1]!Table2[[#This Row],[Contenedores Embarque]]+[1]!Table2[[#This Row],[Contenedores Desembarque]]</f>
        <v>#REF!</v>
      </c>
      <c r="H32" s="1" t="e" cm="1">
        <f t="array" ref="H32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2" s="20">
        <v>45653</v>
      </c>
      <c r="J32" s="21">
        <v>45653</v>
      </c>
      <c r="K32" s="22">
        <v>45659.5</v>
      </c>
    </row>
    <row r="33" spans="2:11" x14ac:dyDescent="0.3">
      <c r="B33" s="18" t="s">
        <v>76</v>
      </c>
      <c r="C33" s="19">
        <v>9193317</v>
      </c>
      <c r="D33" s="19" t="s">
        <v>38</v>
      </c>
      <c r="E33" s="19">
        <v>400</v>
      </c>
      <c r="F33" s="19">
        <v>600</v>
      </c>
      <c r="G33" s="19" t="e">
        <f>[1]!Table2[[#This Row],[Contenedores Embarque]]+[1]!Table2[[#This Row],[Contenedores Desembarque]]</f>
        <v>#REF!</v>
      </c>
      <c r="H33" s="1" t="e" cm="1">
        <f t="array" ref="H33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3" s="20">
        <v>45652</v>
      </c>
      <c r="J33" s="21">
        <v>45653</v>
      </c>
      <c r="K33" s="22">
        <v>45660.166666666664</v>
      </c>
    </row>
    <row r="34" spans="2:11" x14ac:dyDescent="0.3">
      <c r="B34" s="18" t="s">
        <v>92</v>
      </c>
      <c r="C34" s="19">
        <v>9191632</v>
      </c>
      <c r="D34" s="19" t="s">
        <v>38</v>
      </c>
      <c r="E34" s="19">
        <v>120</v>
      </c>
      <c r="F34" s="19">
        <v>150</v>
      </c>
      <c r="G34" s="19" t="e">
        <f>[1]!Table2[[#This Row],[Contenedores Embarque]]+[1]!Table2[[#This Row],[Contenedores Desembarque]]</f>
        <v>#REF!</v>
      </c>
      <c r="H34" s="1" t="e" cm="1">
        <f t="array" ref="H34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4" s="20">
        <v>45649</v>
      </c>
      <c r="J34" s="21">
        <v>45653</v>
      </c>
      <c r="K34" s="22">
        <v>45660.583333333336</v>
      </c>
    </row>
    <row r="35" spans="2:11" x14ac:dyDescent="0.3">
      <c r="B35" s="18" t="s">
        <v>50</v>
      </c>
      <c r="C35" s="19">
        <v>9943085</v>
      </c>
      <c r="D35" s="19" t="s">
        <v>38</v>
      </c>
      <c r="E35" s="19">
        <v>450</v>
      </c>
      <c r="F35" s="19">
        <v>400</v>
      </c>
      <c r="G35" s="19" t="e">
        <f>[1]!Table2[[#This Row],[Contenedores Embarque]]+[1]!Table2[[#This Row],[Contenedores Desembarque]]</f>
        <v>#REF!</v>
      </c>
      <c r="H35" s="1" t="e" cm="1">
        <f t="array" ref="H35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5" s="20">
        <v>45648</v>
      </c>
      <c r="J35" s="21">
        <v>45654</v>
      </c>
      <c r="K35" s="22">
        <v>45661.25</v>
      </c>
    </row>
    <row r="36" spans="2:11" x14ac:dyDescent="0.3">
      <c r="B36" s="18" t="s">
        <v>121</v>
      </c>
      <c r="C36" s="19">
        <v>9285976</v>
      </c>
      <c r="D36" s="19" t="s">
        <v>38</v>
      </c>
      <c r="E36" s="19">
        <v>500</v>
      </c>
      <c r="F36" s="19">
        <v>800</v>
      </c>
      <c r="G36" s="19" t="e">
        <f>[1]!Table2[[#This Row],[Contenedores Embarque]]+[1]!Table2[[#This Row],[Contenedores Desembarque]]</f>
        <v>#REF!</v>
      </c>
      <c r="H36" s="1" t="e" cm="1">
        <f t="array" ref="H36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6" s="20">
        <v>45652</v>
      </c>
      <c r="J36" s="21">
        <v>45654</v>
      </c>
      <c r="K36" s="22">
        <v>45661.833333333336</v>
      </c>
    </row>
    <row r="37" spans="2:11" x14ac:dyDescent="0.3">
      <c r="B37" s="18" t="s">
        <v>122</v>
      </c>
      <c r="C37" s="19">
        <v>9437385</v>
      </c>
      <c r="D37" s="19" t="s">
        <v>45</v>
      </c>
      <c r="E37" s="19">
        <v>450</v>
      </c>
      <c r="F37" s="19">
        <v>1000</v>
      </c>
      <c r="G37" s="19" t="e">
        <f>[1]!Table2[[#This Row],[Contenedores Embarque]]+[1]!Table2[[#This Row],[Contenedores Desembarque]]</f>
        <v>#REF!</v>
      </c>
      <c r="H37" s="1" t="e" cm="1">
        <f t="array" ref="H37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7" s="20">
        <v>45653</v>
      </c>
      <c r="J37" s="21">
        <v>45656</v>
      </c>
      <c r="K37" s="22">
        <v>45663.208333333336</v>
      </c>
    </row>
    <row r="38" spans="2:11" x14ac:dyDescent="0.3">
      <c r="B38" s="18" t="s">
        <v>123</v>
      </c>
      <c r="C38" s="19">
        <v>9526978</v>
      </c>
      <c r="D38" s="19" t="s">
        <v>38</v>
      </c>
      <c r="E38" s="19">
        <v>1500</v>
      </c>
      <c r="F38" s="19">
        <v>1200</v>
      </c>
      <c r="G38" s="19" t="e">
        <f>[1]!Table2[[#This Row],[Contenedores Embarque]]+[1]!Table2[[#This Row],[Contenedores Desembarque]]</f>
        <v>#REF!</v>
      </c>
      <c r="H38" s="1" t="e" cm="1">
        <f t="array" ref="H38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8" s="20">
        <v>45648</v>
      </c>
      <c r="J38" s="21">
        <v>45656</v>
      </c>
      <c r="K38" s="22">
        <v>45663.5</v>
      </c>
    </row>
    <row r="39" spans="2:11" x14ac:dyDescent="0.3">
      <c r="B39" s="18" t="s">
        <v>124</v>
      </c>
      <c r="C39" s="19">
        <v>9724049</v>
      </c>
      <c r="D39" s="19" t="s">
        <v>45</v>
      </c>
      <c r="E39" s="19">
        <v>1100</v>
      </c>
      <c r="F39" s="19">
        <v>1200</v>
      </c>
      <c r="G39" s="19" t="e">
        <f>[1]!Table2[[#This Row],[Contenedores Embarque]]+[1]!Table2[[#This Row],[Contenedores Desembarque]]</f>
        <v>#REF!</v>
      </c>
      <c r="H39" s="1" t="e" cm="1">
        <f t="array" ref="H39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39" s="20">
        <v>41999</v>
      </c>
      <c r="J39" s="21">
        <v>45656</v>
      </c>
      <c r="K39" s="22">
        <v>45663.541666666664</v>
      </c>
    </row>
    <row r="40" spans="2:11" x14ac:dyDescent="0.3">
      <c r="B40" s="18" t="s">
        <v>63</v>
      </c>
      <c r="C40" s="19">
        <v>9797204</v>
      </c>
      <c r="D40" s="19" t="s">
        <v>45</v>
      </c>
      <c r="E40" s="19">
        <v>300</v>
      </c>
      <c r="F40" s="19">
        <v>300</v>
      </c>
      <c r="G40" s="19" t="e">
        <f>[1]!Table2[[#This Row],[Contenedores Embarque]]+[1]!Table2[[#This Row],[Contenedores Desembarque]]</f>
        <v>#REF!</v>
      </c>
      <c r="H40" s="1" t="e" cm="1">
        <f t="array" ref="H40">_xlfn.IFS([1]!Table2[[#This Row],[Total de Movimientos]]&lt;=500, "A",
   [1]!Table2[[#This Row],[Total de Movimientos]]&lt;=1500, "B",
 [1]!Table2[[#This Row],[Total de Movimientos]]&lt;=2500, "C",
    [1]!Table2[[#This Row],[Total de Movimientos]]&lt;=4000, "D",
    [1]!Table2[[#This Row],[Total de Movimientos]]&gt;4000, "E"
)</f>
        <v>#REF!</v>
      </c>
      <c r="I40" s="20">
        <v>45648</v>
      </c>
      <c r="J40" s="21">
        <v>45657</v>
      </c>
      <c r="K40" s="22">
        <v>45664.5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XANAT GARCIA SALGADO</dc:creator>
  <cp:lastModifiedBy>MAYRA XANAT GARCIA SALGADO</cp:lastModifiedBy>
  <dcterms:created xsi:type="dcterms:W3CDTF">2025-01-07T03:15:44Z</dcterms:created>
  <dcterms:modified xsi:type="dcterms:W3CDTF">2026-03-25T20:37:55Z</dcterms:modified>
</cp:coreProperties>
</file>