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y\Documents\2025\Tesis\Modelamiento del problema\"/>
    </mc:Choice>
  </mc:AlternateContent>
  <xr:revisionPtr revIDLastSave="0" documentId="13_ncr:1_{2EE463B9-2676-41C1-922C-FC79207D2C59}" xr6:coauthVersionLast="47" xr6:coauthVersionMax="47" xr10:uidLastSave="{00000000-0000-0000-0000-000000000000}"/>
  <bookViews>
    <workbookView xWindow="-28920" yWindow="-120" windowWidth="29040" windowHeight="15720" activeTab="3" xr2:uid="{DC176078-1565-44FB-B462-A176FF1AF1AC}"/>
  </bookViews>
  <sheets>
    <sheet name="Sheet1" sheetId="1" r:id="rId1"/>
    <sheet name="Sheet2" sheetId="2" r:id="rId2"/>
    <sheet name="v2 final" sheetId="3" r:id="rId3"/>
    <sheet name="Comp v2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8" i="4" l="1"/>
  <c r="AV28" i="4"/>
  <c r="AT28" i="4"/>
  <c r="AW28" i="4" s="1"/>
  <c r="AU23" i="4"/>
  <c r="AV23" i="4"/>
  <c r="AT23" i="4"/>
  <c r="AV17" i="4"/>
  <c r="AT17" i="4"/>
  <c r="AU14" i="4"/>
  <c r="AX14" i="4" s="1"/>
  <c r="AV14" i="4"/>
  <c r="AT14" i="4"/>
  <c r="AU8" i="4"/>
  <c r="AV8" i="4"/>
  <c r="AT8" i="4"/>
  <c r="AW8" i="4" s="1"/>
  <c r="AU3" i="4"/>
  <c r="AV3" i="4"/>
  <c r="AT3" i="4"/>
  <c r="AP28" i="4"/>
  <c r="AQ28" i="4"/>
  <c r="AP23" i="4"/>
  <c r="AQ23" i="4"/>
  <c r="AO28" i="4"/>
  <c r="AO23" i="4"/>
  <c r="AQ17" i="4"/>
  <c r="AO17" i="4"/>
  <c r="AV34" i="4"/>
  <c r="AP14" i="4"/>
  <c r="AS14" i="4" s="1"/>
  <c r="AQ14" i="4"/>
  <c r="AO14" i="4"/>
  <c r="AP8" i="4"/>
  <c r="AR8" i="4" s="1"/>
  <c r="AQ8" i="4"/>
  <c r="AO8" i="4"/>
  <c r="AP3" i="4"/>
  <c r="AQ3" i="4"/>
  <c r="AO3" i="4"/>
  <c r="AN28" i="4"/>
  <c r="AN23" i="4"/>
  <c r="AN17" i="4"/>
  <c r="AN14" i="4"/>
  <c r="AN8" i="4"/>
  <c r="AN3" i="4"/>
  <c r="AD28" i="4"/>
  <c r="AJ23" i="4"/>
  <c r="AM23" i="4" s="1"/>
  <c r="AJ28" i="4"/>
  <c r="AM28" i="4" s="1"/>
  <c r="AK28" i="4"/>
  <c r="AK23" i="4"/>
  <c r="AK17" i="4"/>
  <c r="AI28" i="4"/>
  <c r="AI23" i="4"/>
  <c r="AI17" i="4"/>
  <c r="AI3" i="4"/>
  <c r="AI14" i="4"/>
  <c r="AK8" i="4"/>
  <c r="AJ8" i="4"/>
  <c r="AI8" i="4"/>
  <c r="AJ14" i="4"/>
  <c r="AK14" i="4"/>
  <c r="AJ3" i="4"/>
  <c r="AK3" i="4"/>
  <c r="AF28" i="4"/>
  <c r="AE28" i="4"/>
  <c r="AC28" i="4"/>
  <c r="AD23" i="4"/>
  <c r="AE23" i="4"/>
  <c r="AC23" i="4"/>
  <c r="AE17" i="4"/>
  <c r="AC17" i="4"/>
  <c r="AD14" i="4"/>
  <c r="AD16" i="4" s="1"/>
  <c r="AU16" i="4" s="1"/>
  <c r="AE14" i="4"/>
  <c r="AC14" i="4"/>
  <c r="AD8" i="4"/>
  <c r="AE8" i="4"/>
  <c r="AG8" i="4" s="1"/>
  <c r="AC8" i="4"/>
  <c r="AD3" i="4"/>
  <c r="AE3" i="4"/>
  <c r="AC3" i="4"/>
  <c r="AF3" i="4"/>
  <c r="X39" i="4"/>
  <c r="AI9" i="3"/>
  <c r="L51" i="3"/>
  <c r="M34" i="4"/>
  <c r="L34" i="4"/>
  <c r="BA33" i="4"/>
  <c r="AZ33" i="4"/>
  <c r="AY33" i="4"/>
  <c r="AQ33" i="4"/>
  <c r="AH33" i="4"/>
  <c r="AE33" i="4"/>
  <c r="AV33" i="4" s="1"/>
  <c r="AC33" i="4"/>
  <c r="AB33" i="4"/>
  <c r="V32" i="4"/>
  <c r="X31" i="4"/>
  <c r="W31" i="4"/>
  <c r="X30" i="4"/>
  <c r="Z30" i="4" s="1"/>
  <c r="W30" i="4"/>
  <c r="Y30" i="4" s="1"/>
  <c r="X29" i="4"/>
  <c r="W29" i="4"/>
  <c r="AX28" i="4"/>
  <c r="AS28" i="4"/>
  <c r="AR28" i="4"/>
  <c r="AG28" i="4"/>
  <c r="X28" i="4"/>
  <c r="W28" i="4"/>
  <c r="Y28" i="4" s="1"/>
  <c r="V27" i="4"/>
  <c r="Y26" i="4"/>
  <c r="Z26" i="4"/>
  <c r="W26" i="4"/>
  <c r="X25" i="4"/>
  <c r="W25" i="4"/>
  <c r="W27" i="4" s="1"/>
  <c r="Y24" i="4"/>
  <c r="X24" i="4"/>
  <c r="Z24" i="4" s="1"/>
  <c r="W24" i="4"/>
  <c r="V24" i="4"/>
  <c r="AX23" i="4"/>
  <c r="AW23" i="4"/>
  <c r="AS23" i="4"/>
  <c r="AR23" i="4"/>
  <c r="AG23" i="4"/>
  <c r="Y23" i="4"/>
  <c r="X23" i="4"/>
  <c r="W23" i="4"/>
  <c r="V23" i="4"/>
  <c r="V22" i="4"/>
  <c r="V33" i="4" s="1"/>
  <c r="Y21" i="4"/>
  <c r="W21" i="4"/>
  <c r="W20" i="4"/>
  <c r="Y20" i="4" s="1"/>
  <c r="X19" i="4"/>
  <c r="W19" i="4"/>
  <c r="Z19" i="4" s="1"/>
  <c r="X18" i="4"/>
  <c r="W18" i="4"/>
  <c r="Y18" i="4" s="1"/>
  <c r="V18" i="4"/>
  <c r="X17" i="4"/>
  <c r="X22" i="4" s="1"/>
  <c r="W17" i="4"/>
  <c r="Z17" i="4" s="1"/>
  <c r="V17" i="4"/>
  <c r="BA16" i="4"/>
  <c r="BA34" i="4" s="1"/>
  <c r="AZ16" i="4"/>
  <c r="AZ34" i="4" s="1"/>
  <c r="AY16" i="4"/>
  <c r="AY34" i="4" s="1"/>
  <c r="AQ16" i="4"/>
  <c r="AH16" i="4"/>
  <c r="AH34" i="4" s="1"/>
  <c r="AB16" i="4"/>
  <c r="AB34" i="4" s="1"/>
  <c r="W15" i="4"/>
  <c r="V15" i="4"/>
  <c r="Z14" i="4"/>
  <c r="Z15" i="4" s="1"/>
  <c r="W14" i="4"/>
  <c r="Y14" i="4" s="1"/>
  <c r="Y15" i="4" s="1"/>
  <c r="Y12" i="4"/>
  <c r="W12" i="4"/>
  <c r="X11" i="4"/>
  <c r="W11" i="4"/>
  <c r="Z11" i="4" s="1"/>
  <c r="Y10" i="4"/>
  <c r="X10" i="4"/>
  <c r="Z10" i="4" s="1"/>
  <c r="W10" i="4"/>
  <c r="X9" i="4"/>
  <c r="W9" i="4"/>
  <c r="Z9" i="4" s="1"/>
  <c r="V9" i="4"/>
  <c r="AX8" i="4"/>
  <c r="AS8" i="4"/>
  <c r="AF8" i="4"/>
  <c r="Z8" i="4"/>
  <c r="Y8" i="4"/>
  <c r="X8" i="4"/>
  <c r="W8" i="4"/>
  <c r="W13" i="4" s="1"/>
  <c r="V8" i="4"/>
  <c r="V13" i="4" s="1"/>
  <c r="X6" i="4"/>
  <c r="W6" i="4"/>
  <c r="Z6" i="4" s="1"/>
  <c r="X5" i="4"/>
  <c r="Z5" i="4" s="1"/>
  <c r="W5" i="4"/>
  <c r="Y5" i="4" s="1"/>
  <c r="X4" i="4"/>
  <c r="W4" i="4"/>
  <c r="W7" i="4" s="1"/>
  <c r="W16" i="4" s="1"/>
  <c r="V4" i="4"/>
  <c r="V7" i="4" s="1"/>
  <c r="V16" i="4" s="1"/>
  <c r="AX3" i="4"/>
  <c r="AS3" i="4"/>
  <c r="AR3" i="4"/>
  <c r="AM3" i="4"/>
  <c r="AG3" i="4"/>
  <c r="Y3" i="4"/>
  <c r="X3" i="4"/>
  <c r="W3" i="4"/>
  <c r="V3" i="4"/>
  <c r="AG44" i="3"/>
  <c r="AJ44" i="3" s="1"/>
  <c r="AF44" i="3"/>
  <c r="AK44" i="3" s="1"/>
  <c r="AG37" i="3"/>
  <c r="AJ37" i="3" s="1"/>
  <c r="AF37" i="3"/>
  <c r="AK37" i="3" s="1"/>
  <c r="AG30" i="3"/>
  <c r="AJ30" i="3" s="1"/>
  <c r="AF30" i="3"/>
  <c r="AK30" i="3" s="1"/>
  <c r="AK23" i="3"/>
  <c r="AJ23" i="3"/>
  <c r="AG23" i="3"/>
  <c r="AH23" i="3" s="1"/>
  <c r="AF23" i="3"/>
  <c r="AI23" i="3" s="1"/>
  <c r="AL23" i="3" s="1"/>
  <c r="AJ16" i="3"/>
  <c r="AG16" i="3"/>
  <c r="AF16" i="3"/>
  <c r="AH16" i="3" s="1"/>
  <c r="AG9" i="3"/>
  <c r="AF9" i="3"/>
  <c r="AH9" i="3" s="1"/>
  <c r="P50" i="1"/>
  <c r="Z18" i="4" l="1"/>
  <c r="Z22" i="4" s="1"/>
  <c r="AW14" i="4"/>
  <c r="AW3" i="4"/>
  <c r="AO33" i="4"/>
  <c r="AP16" i="4"/>
  <c r="AR14" i="4"/>
  <c r="AO16" i="4"/>
  <c r="AN33" i="4"/>
  <c r="AN34" i="4" s="1"/>
  <c r="AN16" i="4"/>
  <c r="AL23" i="4"/>
  <c r="AL28" i="4"/>
  <c r="AK33" i="4"/>
  <c r="AI33" i="4"/>
  <c r="AM8" i="4"/>
  <c r="AL14" i="4"/>
  <c r="AM16" i="4"/>
  <c r="AK16" i="4"/>
  <c r="AK34" i="4" s="1"/>
  <c r="AJ16" i="4"/>
  <c r="AL8" i="4"/>
  <c r="AL3" i="4"/>
  <c r="AI16" i="4"/>
  <c r="AI34" i="4" s="1"/>
  <c r="AF23" i="4"/>
  <c r="AT33" i="4"/>
  <c r="AF14" i="4"/>
  <c r="AE16" i="4"/>
  <c r="AV16" i="4" s="1"/>
  <c r="AC16" i="4"/>
  <c r="AC34" i="4" s="1"/>
  <c r="AT34" i="4" s="1"/>
  <c r="Z31" i="4"/>
  <c r="X32" i="4"/>
  <c r="Z29" i="4"/>
  <c r="X7" i="4"/>
  <c r="X13" i="4"/>
  <c r="X16" i="4"/>
  <c r="Z28" i="4"/>
  <c r="X27" i="4"/>
  <c r="X33" i="4" s="1"/>
  <c r="X34" i="4" s="1"/>
  <c r="AQ34" i="4"/>
  <c r="AO34" i="4"/>
  <c r="AR16" i="4"/>
  <c r="AS16" i="4"/>
  <c r="AF16" i="4"/>
  <c r="AG16" i="4"/>
  <c r="AX16" i="4"/>
  <c r="Z13" i="4"/>
  <c r="V34" i="4"/>
  <c r="Z32" i="4"/>
  <c r="Y9" i="4"/>
  <c r="Y13" i="4" s="1"/>
  <c r="Y11" i="4"/>
  <c r="Y17" i="4"/>
  <c r="Y22" i="4" s="1"/>
  <c r="W22" i="4"/>
  <c r="Z23" i="4"/>
  <c r="Y25" i="4"/>
  <c r="Y27" i="4" s="1"/>
  <c r="Y4" i="4"/>
  <c r="Y6" i="4"/>
  <c r="Y19" i="4"/>
  <c r="Z25" i="4"/>
  <c r="Y29" i="4"/>
  <c r="Y32" i="4" s="1"/>
  <c r="Y31" i="4"/>
  <c r="AE34" i="4"/>
  <c r="Z4" i="4"/>
  <c r="W32" i="4"/>
  <c r="Z3" i="4"/>
  <c r="AK9" i="3"/>
  <c r="AI16" i="3"/>
  <c r="AL16" i="3" s="1"/>
  <c r="AK16" i="3"/>
  <c r="AJ9" i="3"/>
  <c r="AL9" i="3" s="1"/>
  <c r="AH44" i="3"/>
  <c r="AH37" i="3"/>
  <c r="AI44" i="3"/>
  <c r="AL44" i="3" s="1"/>
  <c r="AH30" i="3"/>
  <c r="AI37" i="3"/>
  <c r="AL37" i="3" s="1"/>
  <c r="AI30" i="3"/>
  <c r="AL30" i="3" s="1"/>
  <c r="W33" i="4" l="1"/>
  <c r="W34" i="4" s="1"/>
  <c r="AD17" i="4"/>
  <c r="AL16" i="4"/>
  <c r="AT16" i="4"/>
  <c r="AW16" i="4" s="1"/>
  <c r="Z27" i="4"/>
  <c r="Z33" i="4" s="1"/>
  <c r="Y33" i="4"/>
  <c r="Z7" i="4"/>
  <c r="Z16" i="4" s="1"/>
  <c r="Y7" i="4"/>
  <c r="Y16" i="4" s="1"/>
  <c r="Y34" i="4" l="1"/>
  <c r="AF17" i="4"/>
  <c r="AF33" i="4" s="1"/>
  <c r="AF34" i="4" s="1"/>
  <c r="AD33" i="4"/>
  <c r="AG17" i="4"/>
  <c r="AG33" i="4" s="1"/>
  <c r="AG34" i="4" s="1"/>
  <c r="AU17" i="4"/>
  <c r="AP17" i="4"/>
  <c r="AJ17" i="4"/>
  <c r="Z34" i="4"/>
  <c r="AN34" i="2"/>
  <c r="M34" i="2"/>
  <c r="L34" i="2"/>
  <c r="BA33" i="2"/>
  <c r="AZ33" i="2"/>
  <c r="AY33" i="2"/>
  <c r="AV33" i="2"/>
  <c r="AQ33" i="2"/>
  <c r="AP33" i="2"/>
  <c r="AO33" i="2"/>
  <c r="AN33" i="2"/>
  <c r="AK33" i="2"/>
  <c r="AJ33" i="2"/>
  <c r="AI33" i="2"/>
  <c r="AH33" i="2"/>
  <c r="AG33" i="2"/>
  <c r="AE33" i="2"/>
  <c r="AD33" i="2"/>
  <c r="AU33" i="2" s="1"/>
  <c r="AC33" i="2"/>
  <c r="AT33" i="2" s="1"/>
  <c r="AB33" i="2"/>
  <c r="V32" i="2"/>
  <c r="Z31" i="2"/>
  <c r="Y31" i="2"/>
  <c r="X31" i="2"/>
  <c r="W31" i="2"/>
  <c r="X30" i="2"/>
  <c r="W30" i="2"/>
  <c r="Z30" i="2" s="1"/>
  <c r="Z29" i="2"/>
  <c r="Y29" i="2"/>
  <c r="X29" i="2"/>
  <c r="W29" i="2"/>
  <c r="AX28" i="2"/>
  <c r="AW28" i="2"/>
  <c r="AS28" i="2"/>
  <c r="AR28" i="2"/>
  <c r="AM28" i="2"/>
  <c r="AL28" i="2"/>
  <c r="AG28" i="2"/>
  <c r="AF28" i="2"/>
  <c r="X28" i="2"/>
  <c r="X32" i="2" s="1"/>
  <c r="W28" i="2"/>
  <c r="Z28" i="2" s="1"/>
  <c r="Z32" i="2" s="1"/>
  <c r="X26" i="2"/>
  <c r="W26" i="2"/>
  <c r="Z26" i="2" s="1"/>
  <c r="Z25" i="2"/>
  <c r="X25" i="2"/>
  <c r="W25" i="2"/>
  <c r="Y25" i="2" s="1"/>
  <c r="X24" i="2"/>
  <c r="W24" i="2"/>
  <c r="Z24" i="2" s="1"/>
  <c r="V24" i="2"/>
  <c r="AX23" i="2"/>
  <c r="AW23" i="2"/>
  <c r="AS23" i="2"/>
  <c r="AR23" i="2"/>
  <c r="AM23" i="2"/>
  <c r="AL23" i="2"/>
  <c r="AG23" i="2"/>
  <c r="AF23" i="2"/>
  <c r="Y23" i="2"/>
  <c r="X23" i="2"/>
  <c r="X27" i="2" s="1"/>
  <c r="W23" i="2"/>
  <c r="W27" i="2" s="1"/>
  <c r="V23" i="2"/>
  <c r="V27" i="2" s="1"/>
  <c r="X22" i="2"/>
  <c r="W21" i="2"/>
  <c r="Y21" i="2" s="1"/>
  <c r="W20" i="2"/>
  <c r="Y20" i="2" s="1"/>
  <c r="Z19" i="2"/>
  <c r="Y19" i="2"/>
  <c r="X19" i="2"/>
  <c r="W19" i="2"/>
  <c r="X18" i="2"/>
  <c r="W18" i="2"/>
  <c r="Z18" i="2" s="1"/>
  <c r="V18" i="2"/>
  <c r="AX17" i="2"/>
  <c r="AW17" i="2"/>
  <c r="AS17" i="2"/>
  <c r="AS33" i="2" s="1"/>
  <c r="AR17" i="2"/>
  <c r="AR33" i="2" s="1"/>
  <c r="AM17" i="2"/>
  <c r="AM33" i="2" s="1"/>
  <c r="AL17" i="2"/>
  <c r="AL33" i="2" s="1"/>
  <c r="AG17" i="2"/>
  <c r="AF17" i="2"/>
  <c r="AF33" i="2" s="1"/>
  <c r="Z17" i="2"/>
  <c r="Z22" i="2" s="1"/>
  <c r="X17" i="2"/>
  <c r="W17" i="2"/>
  <c r="W22" i="2" s="1"/>
  <c r="V17" i="2"/>
  <c r="V22" i="2" s="1"/>
  <c r="BA16" i="2"/>
  <c r="BA34" i="2" s="1"/>
  <c r="AZ16" i="2"/>
  <c r="AZ34" i="2" s="1"/>
  <c r="AY16" i="2"/>
  <c r="AY34" i="2" s="1"/>
  <c r="AQ16" i="2"/>
  <c r="AQ34" i="2" s="1"/>
  <c r="AP16" i="2"/>
  <c r="AP34" i="2" s="1"/>
  <c r="AO16" i="2"/>
  <c r="AO34" i="2" s="1"/>
  <c r="AN16" i="2"/>
  <c r="AK16" i="2"/>
  <c r="AK34" i="2" s="1"/>
  <c r="AJ16" i="2"/>
  <c r="AJ34" i="2" s="1"/>
  <c r="AI16" i="2"/>
  <c r="AI34" i="2" s="1"/>
  <c r="AH16" i="2"/>
  <c r="AH34" i="2" s="1"/>
  <c r="AE16" i="2"/>
  <c r="AV16" i="2" s="1"/>
  <c r="AD16" i="2"/>
  <c r="AU16" i="2" s="1"/>
  <c r="AC16" i="2"/>
  <c r="AC34" i="2" s="1"/>
  <c r="AB16" i="2"/>
  <c r="AB34" i="2" s="1"/>
  <c r="V15" i="2"/>
  <c r="AX14" i="2"/>
  <c r="AW14" i="2"/>
  <c r="AS14" i="2"/>
  <c r="AR14" i="2"/>
  <c r="AL14" i="2"/>
  <c r="AF14" i="2"/>
  <c r="Y14" i="2"/>
  <c r="Y15" i="2" s="1"/>
  <c r="W14" i="2"/>
  <c r="W15" i="2" s="1"/>
  <c r="W12" i="2"/>
  <c r="Y12" i="2" s="1"/>
  <c r="Z11" i="2"/>
  <c r="X11" i="2"/>
  <c r="W11" i="2"/>
  <c r="Y11" i="2" s="1"/>
  <c r="X10" i="2"/>
  <c r="W10" i="2"/>
  <c r="Z10" i="2" s="1"/>
  <c r="Z9" i="2"/>
  <c r="X9" i="2"/>
  <c r="W9" i="2"/>
  <c r="Y9" i="2" s="1"/>
  <c r="V9" i="2"/>
  <c r="AX8" i="2"/>
  <c r="AW8" i="2"/>
  <c r="AS8" i="2"/>
  <c r="AR8" i="2"/>
  <c r="AM8" i="2"/>
  <c r="AL8" i="2"/>
  <c r="AG8" i="2"/>
  <c r="AF8" i="2"/>
  <c r="X8" i="2"/>
  <c r="X13" i="2" s="1"/>
  <c r="W8" i="2"/>
  <c r="W13" i="2" s="1"/>
  <c r="V8" i="2"/>
  <c r="V13" i="2" s="1"/>
  <c r="Z6" i="2"/>
  <c r="Y6" i="2"/>
  <c r="X6" i="2"/>
  <c r="W6" i="2"/>
  <c r="X5" i="2"/>
  <c r="W5" i="2"/>
  <c r="Z5" i="2" s="1"/>
  <c r="Z4" i="2"/>
  <c r="Y4" i="2"/>
  <c r="X4" i="2"/>
  <c r="W4" i="2"/>
  <c r="V4" i="2"/>
  <c r="AX3" i="2"/>
  <c r="AW3" i="2"/>
  <c r="AS3" i="2"/>
  <c r="AS16" i="2" s="1"/>
  <c r="AS34" i="2" s="1"/>
  <c r="AR3" i="2"/>
  <c r="AR16" i="2" s="1"/>
  <c r="AR34" i="2" s="1"/>
  <c r="AM3" i="2"/>
  <c r="AM16" i="2" s="1"/>
  <c r="AM34" i="2" s="1"/>
  <c r="AL3" i="2"/>
  <c r="AL16" i="2" s="1"/>
  <c r="AG3" i="2"/>
  <c r="AG16" i="2" s="1"/>
  <c r="AG34" i="2" s="1"/>
  <c r="AF3" i="2"/>
  <c r="AF16" i="2" s="1"/>
  <c r="X3" i="2"/>
  <c r="X7" i="2" s="1"/>
  <c r="W3" i="2"/>
  <c r="Z3" i="2" s="1"/>
  <c r="V3" i="2"/>
  <c r="V7" i="2" s="1"/>
  <c r="AG44" i="1"/>
  <c r="AH44" i="1"/>
  <c r="AF9" i="1"/>
  <c r="AK9" i="1" s="1"/>
  <c r="AJ44" i="1"/>
  <c r="AF44" i="1"/>
  <c r="AK44" i="1" s="1"/>
  <c r="AG37" i="1"/>
  <c r="AJ37" i="1" s="1"/>
  <c r="AF37" i="1"/>
  <c r="AK37" i="1" s="1"/>
  <c r="AJ30" i="1"/>
  <c r="AG30" i="1"/>
  <c r="AF30" i="1"/>
  <c r="AI30" i="1" s="1"/>
  <c r="AL30" i="1" s="1"/>
  <c r="AJ23" i="1"/>
  <c r="AI23" i="1"/>
  <c r="AL23" i="1" s="1"/>
  <c r="AG23" i="1"/>
  <c r="AF23" i="1"/>
  <c r="AH23" i="1" s="1"/>
  <c r="AG16" i="1"/>
  <c r="AF16" i="1"/>
  <c r="AI16" i="1" s="1"/>
  <c r="AG9" i="1"/>
  <c r="AM17" i="4" l="1"/>
  <c r="AM33" i="4" s="1"/>
  <c r="AM34" i="4" s="1"/>
  <c r="AJ33" i="4"/>
  <c r="AJ34" i="4" s="1"/>
  <c r="AL17" i="4"/>
  <c r="AL33" i="4" s="1"/>
  <c r="AL34" i="4" s="1"/>
  <c r="AP33" i="4"/>
  <c r="AP34" i="4" s="1"/>
  <c r="AS17" i="4"/>
  <c r="AS33" i="4" s="1"/>
  <c r="AS34" i="4" s="1"/>
  <c r="AR17" i="4"/>
  <c r="AR33" i="4" s="1"/>
  <c r="AR34" i="4" s="1"/>
  <c r="AX17" i="4"/>
  <c r="AW17" i="4"/>
  <c r="AD34" i="4"/>
  <c r="AU34" i="4" s="1"/>
  <c r="AU33" i="4"/>
  <c r="AX16" i="2"/>
  <c r="Z7" i="2"/>
  <c r="X16" i="2"/>
  <c r="AF34" i="2"/>
  <c r="V33" i="2"/>
  <c r="X33" i="2"/>
  <c r="AX33" i="2"/>
  <c r="AW33" i="2"/>
  <c r="V16" i="2"/>
  <c r="V34" i="2" s="1"/>
  <c r="AL34" i="2"/>
  <c r="AT34" i="2"/>
  <c r="Y17" i="2"/>
  <c r="Z23" i="2"/>
  <c r="Z27" i="2" s="1"/>
  <c r="Z33" i="2" s="1"/>
  <c r="AD34" i="2"/>
  <c r="AU34" i="2" s="1"/>
  <c r="AE34" i="2"/>
  <c r="AV34" i="2" s="1"/>
  <c r="Y8" i="2"/>
  <c r="Z14" i="2"/>
  <c r="Z15" i="2" s="1"/>
  <c r="Y3" i="2"/>
  <c r="W7" i="2"/>
  <c r="W16" i="2" s="1"/>
  <c r="Z8" i="2"/>
  <c r="Z13" i="2" s="1"/>
  <c r="Y10" i="2"/>
  <c r="Y24" i="2"/>
  <c r="Y26" i="2"/>
  <c r="W32" i="2"/>
  <c r="W33" i="2" s="1"/>
  <c r="Y5" i="2"/>
  <c r="AT16" i="2"/>
  <c r="AW16" i="2" s="1"/>
  <c r="Y18" i="2"/>
  <c r="Y28" i="2"/>
  <c r="Y30" i="2"/>
  <c r="AH30" i="1"/>
  <c r="AK16" i="1"/>
  <c r="AH16" i="1"/>
  <c r="AI9" i="1"/>
  <c r="AH9" i="1"/>
  <c r="AK30" i="1"/>
  <c r="AJ16" i="1"/>
  <c r="AL16" i="1" s="1"/>
  <c r="AK23" i="1"/>
  <c r="AJ9" i="1"/>
  <c r="AH37" i="1"/>
  <c r="AI44" i="1"/>
  <c r="AL44" i="1" s="1"/>
  <c r="AI37" i="1"/>
  <c r="AL37" i="1" s="1"/>
  <c r="AW33" i="4" l="1"/>
  <c r="AX33" i="4"/>
  <c r="AX34" i="4"/>
  <c r="AW34" i="4"/>
  <c r="Y32" i="2"/>
  <c r="Y22" i="2"/>
  <c r="Y7" i="2"/>
  <c r="X34" i="2"/>
  <c r="Z16" i="2"/>
  <c r="Z34" i="2" s="1"/>
  <c r="Y13" i="2"/>
  <c r="W34" i="2"/>
  <c r="Y27" i="2"/>
  <c r="AX34" i="2"/>
  <c r="AW34" i="2"/>
  <c r="AL9" i="1"/>
  <c r="Y16" i="2" l="1"/>
  <c r="Y33" i="2"/>
  <c r="Y34" i="2" l="1"/>
</calcChain>
</file>

<file path=xl/sharedStrings.xml><?xml version="1.0" encoding="utf-8"?>
<sst xmlns="http://schemas.openxmlformats.org/spreadsheetml/2006/main" count="733" uniqueCount="112">
  <si>
    <t>Planificación Naviera</t>
  </si>
  <si>
    <t>Sábado</t>
  </si>
  <si>
    <t>Domingo</t>
  </si>
  <si>
    <t>Lunes</t>
  </si>
  <si>
    <t>Martes</t>
  </si>
  <si>
    <t>Miércoles</t>
  </si>
  <si>
    <t>Jueves</t>
  </si>
  <si>
    <t>Viernes</t>
  </si>
  <si>
    <t>Inicio</t>
  </si>
  <si>
    <t>NAVE</t>
  </si>
  <si>
    <t>Termino</t>
  </si>
  <si>
    <t>Yantian</t>
  </si>
  <si>
    <t>Cosco Pacific</t>
  </si>
  <si>
    <t>Sitio 1</t>
  </si>
  <si>
    <t>NAVE 1</t>
  </si>
  <si>
    <t>NAVE 2</t>
  </si>
  <si>
    <t>TOTAL</t>
  </si>
  <si>
    <t>Xin Da Lian</t>
  </si>
  <si>
    <t>Maersk San Christobal</t>
  </si>
  <si>
    <t>Sitio 2</t>
  </si>
  <si>
    <t>Sitio 3</t>
  </si>
  <si>
    <t>Monte Pascoal</t>
  </si>
  <si>
    <t>Zim Luanda</t>
  </si>
  <si>
    <t>C1</t>
  </si>
  <si>
    <t>Jasper Arrow</t>
  </si>
  <si>
    <t>MSC Pantera</t>
  </si>
  <si>
    <t>C2</t>
  </si>
  <si>
    <t>Mantención</t>
  </si>
  <si>
    <t>Sitio 4/5</t>
  </si>
  <si>
    <t>Santa Alexandra</t>
  </si>
  <si>
    <t>G Poseidon</t>
  </si>
  <si>
    <t>Polar Argentina</t>
  </si>
  <si>
    <t>Callao Express</t>
  </si>
  <si>
    <t>Morning Claire</t>
  </si>
  <si>
    <t>Seaspan Beauty</t>
  </si>
  <si>
    <t>Glovis Cougar</t>
  </si>
  <si>
    <t>Maersk Acadia</t>
  </si>
  <si>
    <t>Morning Lena</t>
  </si>
  <si>
    <t>Copihue</t>
  </si>
  <si>
    <t>Amsterdam Express</t>
  </si>
  <si>
    <t>Horas ocupadas</t>
  </si>
  <si>
    <t>Horas disponibles</t>
  </si>
  <si>
    <t>Tiempo de no ocupación</t>
  </si>
  <si>
    <t>Turnos ocupados</t>
  </si>
  <si>
    <t>Turnos totales</t>
  </si>
  <si>
    <t>% utilización (h)</t>
  </si>
  <si>
    <t>% utilización (turnos)</t>
  </si>
  <si>
    <t>Terminal</t>
  </si>
  <si>
    <t>Sitio</t>
  </si>
  <si>
    <t>Nave</t>
  </si>
  <si>
    <t>Tamaño de nave</t>
  </si>
  <si>
    <t>Movimientos</t>
  </si>
  <si>
    <t>Nave programada</t>
  </si>
  <si>
    <t>Nave reasignada</t>
  </si>
  <si>
    <t>Nave nueva en planificación CON solicitud</t>
  </si>
  <si>
    <t>Nave nueva SIN solicitud ex</t>
  </si>
  <si>
    <t>Naves programadas plan</t>
  </si>
  <si>
    <t>Naves atendidas</t>
  </si>
  <si>
    <t>Fecha aparición en solicitud</t>
  </si>
  <si>
    <t>Fecha de ingreso planificación</t>
  </si>
  <si>
    <t>Inicio de atención planificado</t>
  </si>
  <si>
    <t>Inicio atención real</t>
  </si>
  <si>
    <t>Inicio atención propuesta</t>
  </si>
  <si>
    <t>Término atención planificado</t>
  </si>
  <si>
    <t>Término atención real</t>
  </si>
  <si>
    <t>Término atención propuesta</t>
  </si>
  <si>
    <t>Horas de atención planificado</t>
  </si>
  <si>
    <t>Horas de atención real</t>
  </si>
  <si>
    <t>Horas atención propuesta</t>
  </si>
  <si>
    <t>Δ Horas atención real vs plan</t>
  </si>
  <si>
    <t>Δ Horas atención real vs prop</t>
  </si>
  <si>
    <t>Nave con inconsistencia de hora de salida</t>
  </si>
  <si>
    <t>Inconsistencia hora salida</t>
  </si>
  <si>
    <t>Horas ocupadas planificado</t>
  </si>
  <si>
    <t>Horas ocupadas real</t>
  </si>
  <si>
    <t>Horas ocupadas prop</t>
  </si>
  <si>
    <t>Δ Horas ocupadas real vs plan</t>
  </si>
  <si>
    <t>Δ Horas ocupadas real vs prop</t>
  </si>
  <si>
    <t>Horas totales disponibles</t>
  </si>
  <si>
    <t>Turnos ocupados planificado</t>
  </si>
  <si>
    <t>Turnos ocupados real</t>
  </si>
  <si>
    <t>Turnos ocupados prop</t>
  </si>
  <si>
    <t>Δ Turnos ocupados real vs plan</t>
  </si>
  <si>
    <t>Δ Turnos ocupados real vs prop</t>
  </si>
  <si>
    <t>Turnos disponibles</t>
  </si>
  <si>
    <t>Horas no ocupadas planificado</t>
  </si>
  <si>
    <t>Horas no ocupadas real</t>
  </si>
  <si>
    <t>Horas no ocupadas prop</t>
  </si>
  <si>
    <t>Δ Horas no ocupadas real vs plan</t>
  </si>
  <si>
    <t>Δ Horas no ocupadas real vs prop</t>
  </si>
  <si>
    <t>% utilización planificado</t>
  </si>
  <si>
    <t>% utilización real</t>
  </si>
  <si>
    <t>% utilización prop</t>
  </si>
  <si>
    <t>Δ % utilización real vs plan</t>
  </si>
  <si>
    <t>Δ % utilización real vs prop</t>
  </si>
  <si>
    <t>Naves con cambio de sitio</t>
  </si>
  <si>
    <t>Naves no programadas</t>
  </si>
  <si>
    <t>Naves reasignadas</t>
  </si>
  <si>
    <t>Puerto de San Antonio</t>
  </si>
  <si>
    <t>STI</t>
  </si>
  <si>
    <t>X</t>
  </si>
  <si>
    <t>TOTAL SITIO</t>
  </si>
  <si>
    <t>X**</t>
  </si>
  <si>
    <t>Cosco Shipping Seine</t>
  </si>
  <si>
    <t>Alpaca</t>
  </si>
  <si>
    <t>TOTAL TERMINAL STI</t>
  </si>
  <si>
    <t>DP World</t>
  </si>
  <si>
    <t>X*</t>
  </si>
  <si>
    <t>Cape Hellas</t>
  </si>
  <si>
    <t>Rossana</t>
  </si>
  <si>
    <t>TOTAL TERMINAL DP WORLD</t>
  </si>
  <si>
    <t>TOTAL PUERTO DE 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</si>
</sst>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FA7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2">
    <xf numFmtId="0" fontId="0" fillId="0" borderId="0" xfId="0"/>
    <xf numFmtId="0" fontId="0" fillId="0" borderId="4" xfId="0" applyBorder="1"/>
    <xf numFmtId="0" fontId="0" fillId="0" borderId="18" xfId="0" applyBorder="1"/>
    <xf numFmtId="0" fontId="0" fillId="0" borderId="9" xfId="0" applyBorder="1"/>
    <xf numFmtId="20" fontId="0" fillId="5" borderId="4" xfId="0" applyNumberFormat="1" applyFill="1" applyBorder="1"/>
    <xf numFmtId="0" fontId="0" fillId="5" borderId="4" xfId="0" applyFill="1" applyBorder="1"/>
    <xf numFmtId="0" fontId="0" fillId="6" borderId="4" xfId="0" applyFill="1" applyBorder="1"/>
    <xf numFmtId="20" fontId="0" fillId="6" borderId="4" xfId="0" applyNumberForma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 applyAlignment="1">
      <alignment horizontal="center"/>
    </xf>
    <xf numFmtId="0" fontId="2" fillId="0" borderId="8" xfId="0" applyFont="1" applyBorder="1"/>
    <xf numFmtId="16" fontId="2" fillId="0" borderId="9" xfId="0" applyNumberFormat="1" applyFont="1" applyBorder="1"/>
    <xf numFmtId="16" fontId="2" fillId="0" borderId="10" xfId="0" applyNumberFormat="1" applyFont="1" applyBorder="1"/>
    <xf numFmtId="0" fontId="2" fillId="0" borderId="9" xfId="0" applyFont="1" applyBorder="1"/>
    <xf numFmtId="16" fontId="2" fillId="0" borderId="11" xfId="0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/>
    <xf numFmtId="16" fontId="0" fillId="0" borderId="14" xfId="0" applyNumberFormat="1" applyBorder="1"/>
    <xf numFmtId="0" fontId="0" fillId="0" borderId="15" xfId="0" applyBorder="1"/>
    <xf numFmtId="0" fontId="0" fillId="0" borderId="14" xfId="0" applyBorder="1"/>
    <xf numFmtId="0" fontId="2" fillId="0" borderId="2" xfId="0" applyFont="1" applyBorder="1" applyAlignment="1">
      <alignment horizontal="center"/>
    </xf>
    <xf numFmtId="20" fontId="0" fillId="0" borderId="4" xfId="0" applyNumberFormat="1" applyBorder="1"/>
    <xf numFmtId="0" fontId="0" fillId="0" borderId="5" xfId="0" applyBorder="1"/>
    <xf numFmtId="16" fontId="2" fillId="0" borderId="16" xfId="0" applyNumberFormat="1" applyFont="1" applyBorder="1" applyAlignment="1">
      <alignment horizontal="center"/>
    </xf>
    <xf numFmtId="20" fontId="0" fillId="0" borderId="0" xfId="0" applyNumberFormat="1"/>
    <xf numFmtId="0" fontId="0" fillId="0" borderId="17" xfId="0" applyBorder="1"/>
    <xf numFmtId="0" fontId="2" fillId="0" borderId="16" xfId="0" applyFont="1" applyBorder="1" applyAlignment="1">
      <alignment horizontal="center"/>
    </xf>
    <xf numFmtId="0" fontId="0" fillId="0" borderId="10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1" xfId="0" applyBorder="1"/>
    <xf numFmtId="0" fontId="2" fillId="0" borderId="25" xfId="0" applyFont="1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17" xfId="0" applyNumberFormat="1" applyBorder="1"/>
    <xf numFmtId="20" fontId="0" fillId="0" borderId="9" xfId="0" applyNumberFormat="1" applyBorder="1"/>
    <xf numFmtId="0" fontId="2" fillId="0" borderId="2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7" xfId="0" applyBorder="1" applyAlignment="1">
      <alignment horizontal="center"/>
    </xf>
    <xf numFmtId="20" fontId="0" fillId="7" borderId="4" xfId="0" applyNumberFormat="1" applyFill="1" applyBorder="1"/>
    <xf numFmtId="0" fontId="0" fillId="7" borderId="4" xfId="0" applyFill="1" applyBorder="1"/>
    <xf numFmtId="20" fontId="0" fillId="7" borderId="0" xfId="0" applyNumberFormat="1" applyFill="1"/>
    <xf numFmtId="0" fontId="0" fillId="7" borderId="0" xfId="0" applyFill="1"/>
    <xf numFmtId="20" fontId="0" fillId="5" borderId="0" xfId="0" applyNumberFormat="1" applyFill="1"/>
    <xf numFmtId="0" fontId="0" fillId="5" borderId="0" xfId="0" applyFill="1"/>
    <xf numFmtId="0" fontId="0" fillId="5" borderId="4" xfId="0" applyFill="1" applyBorder="1" applyAlignment="1">
      <alignment horizontal="center"/>
    </xf>
    <xf numFmtId="20" fontId="0" fillId="5" borderId="5" xfId="0" applyNumberFormat="1" applyFill="1" applyBorder="1"/>
    <xf numFmtId="20" fontId="0" fillId="5" borderId="17" xfId="0" applyNumberFormat="1" applyFill="1" applyBorder="1"/>
    <xf numFmtId="20" fontId="0" fillId="0" borderId="5" xfId="0" applyNumberFormat="1" applyBorder="1"/>
    <xf numFmtId="9" fontId="0" fillId="0" borderId="0" xfId="1" applyFont="1" applyFill="1"/>
    <xf numFmtId="9" fontId="0" fillId="0" borderId="0" xfId="1" applyFont="1"/>
    <xf numFmtId="20" fontId="0" fillId="5" borderId="9" xfId="0" applyNumberFormat="1" applyFill="1" applyBorder="1"/>
    <xf numFmtId="0" fontId="2" fillId="0" borderId="28" xfId="0" applyFont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2" fontId="0" fillId="0" borderId="2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164" fontId="0" fillId="3" borderId="28" xfId="0" applyNumberForma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/>
    </xf>
    <xf numFmtId="164" fontId="2" fillId="8" borderId="28" xfId="0" applyNumberFormat="1" applyFont="1" applyFill="1" applyBorder="1" applyAlignment="1">
      <alignment horizontal="center" vertical="center"/>
    </xf>
    <xf numFmtId="164" fontId="0" fillId="8" borderId="28" xfId="0" applyNumberForma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9" fontId="2" fillId="8" borderId="28" xfId="1" applyFont="1" applyFill="1" applyBorder="1" applyAlignment="1">
      <alignment horizontal="center" vertical="center"/>
    </xf>
    <xf numFmtId="9" fontId="2" fillId="8" borderId="28" xfId="0" applyNumberFormat="1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/>
    </xf>
    <xf numFmtId="164" fontId="2" fillId="9" borderId="28" xfId="0" applyNumberFormat="1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9" fontId="2" fillId="9" borderId="28" xfId="1" applyFont="1" applyFill="1" applyBorder="1" applyAlignment="1">
      <alignment horizontal="center" vertical="center"/>
    </xf>
    <xf numFmtId="22" fontId="0" fillId="0" borderId="0" xfId="0" applyNumberFormat="1"/>
    <xf numFmtId="0" fontId="0" fillId="10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BDD%202020-2025/BBDD%20limpia.xlsx" TargetMode="External"/><Relationship Id="rId2" Type="http://schemas.openxmlformats.org/officeDocument/2006/relationships/externalLinkPath" Target="file:///C:\Users\May\Documents\2025\Tesis\BBDD%202020-2025\BBDD%20limpia.xlsx" TargetMode="External"/><Relationship Id="rId1" Type="http://schemas.openxmlformats.org/officeDocument/2006/relationships/externalLinkPath" Target="/Users/May/Documents/2025/Tesis/BBDD%202020-2025/BBDD%20lim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 Naves Comerciales (4)"/>
      <sheetName val="STI DPWorld"/>
      <sheetName val="Estadísticas"/>
      <sheetName val="Regresión"/>
      <sheetName val="Reg final"/>
      <sheetName val="Datos reg"/>
      <sheetName val="Datos semana 2"/>
      <sheetName val="Media estadía semana 2"/>
      <sheetName val="C1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P10">
            <v>25.749999999941792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B016-27CD-4DFC-8565-F0993AD29A58}">
  <dimension ref="B1:AM50"/>
  <sheetViews>
    <sheetView zoomScale="80" zoomScaleNormal="80" workbookViewId="0">
      <selection activeCell="T29" sqref="T29"/>
    </sheetView>
  </sheetViews>
  <sheetFormatPr defaultRowHeight="14.4" x14ac:dyDescent="0.3"/>
  <cols>
    <col min="10" max="10" width="13.77734375" customWidth="1"/>
    <col min="13" max="13" width="16.109375" customWidth="1"/>
    <col min="16" max="16" width="21.109375" customWidth="1"/>
    <col min="17" max="17" width="7.6640625" customWidth="1"/>
    <col min="19" max="19" width="14.6640625" customWidth="1"/>
    <col min="22" max="22" width="15.77734375" customWidth="1"/>
    <col min="25" max="25" width="17.6640625" customWidth="1"/>
    <col min="28" max="28" width="18.21875" customWidth="1"/>
    <col min="32" max="32" width="16.109375" customWidth="1"/>
    <col min="33" max="33" width="17.21875" customWidth="1"/>
    <col min="34" max="34" width="24.44140625" customWidth="1"/>
    <col min="35" max="35" width="19.44140625" customWidth="1"/>
    <col min="36" max="36" width="15.5546875" customWidth="1"/>
    <col min="37" max="37" width="15.6640625" customWidth="1"/>
    <col min="38" max="38" width="16.77734375" customWidth="1"/>
  </cols>
  <sheetData>
    <row r="1" spans="2:39" ht="15" thickBot="1" x14ac:dyDescent="0.35">
      <c r="B1" s="8"/>
    </row>
    <row r="2" spans="2:39" ht="15" thickBot="1" x14ac:dyDescent="0.35">
      <c r="B2" s="8"/>
      <c r="H2" s="101" t="s">
        <v>0</v>
      </c>
      <c r="I2" s="101"/>
      <c r="J2" s="101"/>
      <c r="K2" s="101"/>
      <c r="L2" s="101"/>
      <c r="M2" s="101"/>
      <c r="N2" s="101"/>
      <c r="O2" s="101"/>
      <c r="P2" s="101"/>
    </row>
    <row r="3" spans="2:39" x14ac:dyDescent="0.3">
      <c r="B3" s="9"/>
      <c r="C3" s="10"/>
      <c r="D3" s="11" t="s">
        <v>1</v>
      </c>
      <c r="E3" s="12"/>
      <c r="F3" s="11"/>
      <c r="G3" s="11" t="s">
        <v>2</v>
      </c>
      <c r="H3" s="12"/>
      <c r="I3" s="11"/>
      <c r="J3" s="11" t="s">
        <v>3</v>
      </c>
      <c r="K3" s="12"/>
      <c r="L3" s="11"/>
      <c r="M3" s="11" t="s">
        <v>4</v>
      </c>
      <c r="N3" s="12"/>
      <c r="O3" s="11"/>
      <c r="P3" s="11" t="s">
        <v>5</v>
      </c>
      <c r="Q3" s="12"/>
      <c r="R3" s="11"/>
      <c r="S3" s="11" t="s">
        <v>6</v>
      </c>
      <c r="T3" s="12"/>
      <c r="U3" s="11"/>
      <c r="V3" s="11" t="s">
        <v>7</v>
      </c>
      <c r="W3" s="13"/>
      <c r="X3" s="11"/>
      <c r="Y3" s="11" t="s">
        <v>1</v>
      </c>
      <c r="Z3" s="13"/>
      <c r="AA3" s="11"/>
      <c r="AB3" s="11" t="s">
        <v>2</v>
      </c>
      <c r="AC3" s="12"/>
    </row>
    <row r="4" spans="2:39" ht="15" thickBot="1" x14ac:dyDescent="0.35">
      <c r="B4" s="14"/>
      <c r="C4" s="15"/>
      <c r="D4" s="16">
        <v>45998</v>
      </c>
      <c r="E4" s="17"/>
      <c r="F4" s="18"/>
      <c r="G4" s="16">
        <v>45999</v>
      </c>
      <c r="H4" s="17"/>
      <c r="I4" s="18"/>
      <c r="J4" s="16">
        <v>46000</v>
      </c>
      <c r="K4" s="17"/>
      <c r="L4" s="18"/>
      <c r="M4" s="16">
        <v>46001</v>
      </c>
      <c r="N4" s="17"/>
      <c r="O4" s="18"/>
      <c r="P4" s="16">
        <v>46002</v>
      </c>
      <c r="Q4" s="17"/>
      <c r="R4" s="18"/>
      <c r="S4" s="16">
        <v>46003</v>
      </c>
      <c r="T4" s="17"/>
      <c r="U4" s="18"/>
      <c r="V4" s="16">
        <v>46004</v>
      </c>
      <c r="W4" s="19"/>
      <c r="X4" s="18"/>
      <c r="Y4" s="16">
        <v>46005</v>
      </c>
      <c r="Z4" s="19"/>
      <c r="AA4" s="18"/>
      <c r="AB4" s="16">
        <v>46006</v>
      </c>
      <c r="AC4" s="17"/>
    </row>
    <row r="5" spans="2:39" ht="15" thickBot="1" x14ac:dyDescent="0.35">
      <c r="B5" s="20"/>
      <c r="C5" s="21" t="s">
        <v>8</v>
      </c>
      <c r="D5" s="22" t="s">
        <v>9</v>
      </c>
      <c r="E5" s="23" t="s">
        <v>10</v>
      </c>
      <c r="F5" s="24" t="s">
        <v>8</v>
      </c>
      <c r="G5" s="22" t="s">
        <v>9</v>
      </c>
      <c r="H5" s="23" t="s">
        <v>10</v>
      </c>
      <c r="I5" s="24" t="s">
        <v>8</v>
      </c>
      <c r="J5" s="22" t="s">
        <v>9</v>
      </c>
      <c r="K5" s="23" t="s">
        <v>10</v>
      </c>
      <c r="L5" s="24" t="s">
        <v>8</v>
      </c>
      <c r="M5" s="22" t="s">
        <v>9</v>
      </c>
      <c r="N5" s="23" t="s">
        <v>10</v>
      </c>
      <c r="O5" s="24" t="s">
        <v>8</v>
      </c>
      <c r="P5" s="22" t="s">
        <v>9</v>
      </c>
      <c r="Q5" s="23" t="s">
        <v>10</v>
      </c>
      <c r="R5" s="24" t="s">
        <v>8</v>
      </c>
      <c r="S5" s="22" t="s">
        <v>9</v>
      </c>
      <c r="T5" s="23" t="s">
        <v>10</v>
      </c>
      <c r="U5" s="24" t="s">
        <v>8</v>
      </c>
      <c r="V5" s="22" t="s">
        <v>9</v>
      </c>
      <c r="W5" s="23" t="s">
        <v>10</v>
      </c>
      <c r="X5" s="24" t="s">
        <v>8</v>
      </c>
      <c r="Y5" s="22" t="s">
        <v>9</v>
      </c>
      <c r="Z5" s="23" t="s">
        <v>10</v>
      </c>
      <c r="AA5" s="24" t="s">
        <v>8</v>
      </c>
      <c r="AB5" s="22" t="s">
        <v>9</v>
      </c>
      <c r="AC5" s="23" t="s">
        <v>10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</row>
    <row r="6" spans="2:39" x14ac:dyDescent="0.3">
      <c r="B6" s="25"/>
      <c r="C6" s="51"/>
      <c r="D6" s="51" t="s">
        <v>11</v>
      </c>
      <c r="E6" s="49"/>
      <c r="F6" s="49"/>
      <c r="G6" s="49" t="s">
        <v>11</v>
      </c>
      <c r="H6" s="49"/>
      <c r="I6" s="49"/>
      <c r="J6" s="49" t="s">
        <v>11</v>
      </c>
      <c r="K6" s="48">
        <v>0.66666666666666663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6"/>
      <c r="AA6" s="1"/>
      <c r="AB6" s="1"/>
      <c r="AC6" s="27"/>
      <c r="AM6" s="58"/>
    </row>
    <row r="7" spans="2:39" x14ac:dyDescent="0.3">
      <c r="B7" s="28"/>
      <c r="I7" s="50">
        <v>0.70833333333333337</v>
      </c>
      <c r="J7" s="51" t="s">
        <v>12</v>
      </c>
      <c r="K7" s="51"/>
      <c r="L7" s="51"/>
      <c r="M7" s="51" t="s">
        <v>12</v>
      </c>
      <c r="N7" s="51"/>
      <c r="O7" s="51"/>
      <c r="P7" s="51" t="s">
        <v>12</v>
      </c>
      <c r="Q7" s="51"/>
      <c r="R7" s="51"/>
      <c r="S7" s="51" t="s">
        <v>12</v>
      </c>
      <c r="T7" s="50">
        <v>0.20833333333333334</v>
      </c>
      <c r="AA7" s="29"/>
      <c r="AC7" s="30"/>
    </row>
    <row r="8" spans="2:39" ht="15" thickBot="1" x14ac:dyDescent="0.35">
      <c r="B8" s="31"/>
      <c r="C8" s="2"/>
      <c r="D8" s="3"/>
      <c r="R8" s="52">
        <v>0.5</v>
      </c>
      <c r="S8" s="53" t="s">
        <v>34</v>
      </c>
      <c r="T8" s="53"/>
      <c r="U8" s="53"/>
      <c r="V8" s="53" t="s">
        <v>34</v>
      </c>
      <c r="W8" s="53"/>
      <c r="X8" s="53"/>
      <c r="Y8" s="53" t="s">
        <v>34</v>
      </c>
      <c r="Z8" s="52">
        <v>0.65972222222222221</v>
      </c>
      <c r="AC8" s="32"/>
    </row>
    <row r="9" spans="2:39" x14ac:dyDescent="0.3">
      <c r="B9" s="31" t="s">
        <v>13</v>
      </c>
      <c r="E9" s="33"/>
      <c r="F9" s="34"/>
      <c r="G9" s="35" t="s">
        <v>14</v>
      </c>
      <c r="H9" s="33">
        <v>24</v>
      </c>
      <c r="I9" s="34"/>
      <c r="J9" s="35" t="s">
        <v>14</v>
      </c>
      <c r="K9" s="33">
        <v>16</v>
      </c>
      <c r="L9" s="34"/>
      <c r="M9" s="35" t="s">
        <v>14</v>
      </c>
      <c r="N9" s="33">
        <v>24</v>
      </c>
      <c r="O9" s="34"/>
      <c r="P9" s="35" t="s">
        <v>14</v>
      </c>
      <c r="Q9" s="33">
        <v>24</v>
      </c>
      <c r="R9" s="34"/>
      <c r="S9" s="35" t="s">
        <v>14</v>
      </c>
      <c r="T9" s="33">
        <v>5</v>
      </c>
      <c r="U9" s="34"/>
      <c r="V9" s="35" t="s">
        <v>14</v>
      </c>
      <c r="W9" s="33">
        <v>24</v>
      </c>
      <c r="X9" s="34"/>
      <c r="Y9" s="35" t="s">
        <v>14</v>
      </c>
      <c r="Z9" s="33">
        <v>16</v>
      </c>
      <c r="AA9" s="34"/>
      <c r="AB9" s="35" t="s">
        <v>14</v>
      </c>
      <c r="AC9" s="27"/>
      <c r="AF9">
        <f>H9+H10+K9+K10+N9+N10+Q9+Q10+T9+T10+W9+W10+Z9+Z10+AC9+AC10</f>
        <v>152</v>
      </c>
      <c r="AG9">
        <f>24*8</f>
        <v>192</v>
      </c>
      <c r="AH9">
        <f>AG9-AF9</f>
        <v>40</v>
      </c>
      <c r="AI9">
        <f>ROUNDUP(AF9/8,0)</f>
        <v>19</v>
      </c>
      <c r="AJ9">
        <f>ROUNDUP(AG9/8,0)</f>
        <v>24</v>
      </c>
      <c r="AK9" s="59">
        <f>AF9/AG9</f>
        <v>0.79166666666666663</v>
      </c>
      <c r="AL9" s="59">
        <f>AI9/AJ9</f>
        <v>0.79166666666666663</v>
      </c>
    </row>
    <row r="10" spans="2:39" ht="15" thickBot="1" x14ac:dyDescent="0.35">
      <c r="B10" s="31"/>
      <c r="E10" s="36"/>
      <c r="F10" s="37"/>
      <c r="G10" s="38" t="s">
        <v>15</v>
      </c>
      <c r="H10" s="36"/>
      <c r="I10" s="37"/>
      <c r="J10" s="38" t="s">
        <v>15</v>
      </c>
      <c r="K10" s="36">
        <v>7</v>
      </c>
      <c r="L10" s="37"/>
      <c r="M10" s="38" t="s">
        <v>15</v>
      </c>
      <c r="N10" s="36"/>
      <c r="O10" s="37"/>
      <c r="P10" s="38" t="s">
        <v>15</v>
      </c>
      <c r="Q10" s="36"/>
      <c r="R10" s="37"/>
      <c r="S10" s="38" t="s">
        <v>15</v>
      </c>
      <c r="T10" s="36">
        <v>12</v>
      </c>
      <c r="U10" s="37"/>
      <c r="V10" s="38" t="s">
        <v>15</v>
      </c>
      <c r="W10" s="36"/>
      <c r="X10" s="37"/>
      <c r="Y10" s="38" t="s">
        <v>15</v>
      </c>
      <c r="Z10" s="36"/>
      <c r="AA10" s="37"/>
      <c r="AB10" s="38" t="s">
        <v>15</v>
      </c>
      <c r="AC10" s="30"/>
    </row>
    <row r="11" spans="2:39" x14ac:dyDescent="0.3">
      <c r="B11" s="31"/>
      <c r="E11" s="36"/>
      <c r="F11" s="39"/>
      <c r="G11" s="38"/>
      <c r="H11" s="36"/>
      <c r="I11" s="39"/>
      <c r="J11" s="38"/>
      <c r="K11" s="36"/>
      <c r="L11" s="39"/>
      <c r="M11" s="38"/>
      <c r="N11" s="36"/>
      <c r="O11" s="39"/>
      <c r="P11" s="38"/>
      <c r="Q11" s="36"/>
      <c r="R11" s="39"/>
      <c r="S11" s="38"/>
      <c r="T11" s="36"/>
      <c r="U11" s="39"/>
      <c r="V11" s="38"/>
      <c r="W11" s="36"/>
      <c r="X11" s="39"/>
      <c r="Y11" s="38"/>
      <c r="Z11" s="36"/>
      <c r="AA11" s="39"/>
      <c r="AB11" s="38"/>
      <c r="AC11" s="30"/>
    </row>
    <row r="12" spans="2:39" ht="15" thickBot="1" x14ac:dyDescent="0.35">
      <c r="B12" s="31"/>
      <c r="C12" s="2"/>
      <c r="D12" s="3"/>
      <c r="E12" s="40"/>
      <c r="F12" s="37"/>
      <c r="G12" s="2" t="s">
        <v>16</v>
      </c>
      <c r="H12" s="40"/>
      <c r="I12" s="37"/>
      <c r="J12" s="2" t="s">
        <v>16</v>
      </c>
      <c r="K12" s="40"/>
      <c r="L12" s="37"/>
      <c r="M12" s="2" t="s">
        <v>16</v>
      </c>
      <c r="N12" s="40"/>
      <c r="O12" s="37"/>
      <c r="P12" s="2" t="s">
        <v>16</v>
      </c>
      <c r="Q12" s="40"/>
      <c r="R12" s="37"/>
      <c r="S12" s="2" t="s">
        <v>16</v>
      </c>
      <c r="T12" s="40"/>
      <c r="U12" s="37"/>
      <c r="V12" s="2" t="s">
        <v>16</v>
      </c>
      <c r="W12" s="40"/>
      <c r="X12" s="37"/>
      <c r="Y12" s="2" t="s">
        <v>16</v>
      </c>
      <c r="Z12" s="40"/>
      <c r="AA12" s="37"/>
      <c r="AB12" s="2" t="s">
        <v>16</v>
      </c>
      <c r="AC12" s="40"/>
    </row>
    <row r="13" spans="2:39" x14ac:dyDescent="0.3">
      <c r="B13" s="41"/>
      <c r="E13" s="1"/>
      <c r="F13" s="48">
        <v>0.27083333333333331</v>
      </c>
      <c r="G13" s="49" t="s">
        <v>17</v>
      </c>
      <c r="H13" s="49"/>
      <c r="I13" s="49"/>
      <c r="J13" s="49" t="s">
        <v>17</v>
      </c>
      <c r="K13" s="48">
        <v>0.58333333333333337</v>
      </c>
      <c r="L13" s="1"/>
      <c r="M13" s="1"/>
      <c r="N13" s="1"/>
      <c r="O13" s="1"/>
      <c r="P13" s="1"/>
      <c r="Q13" s="1"/>
      <c r="R13" s="26"/>
      <c r="S13" s="42"/>
      <c r="T13" s="26"/>
      <c r="U13" s="4">
        <v>0.25</v>
      </c>
      <c r="V13" s="54" t="s">
        <v>36</v>
      </c>
      <c r="W13" s="5"/>
      <c r="X13" s="4"/>
      <c r="Y13" s="54" t="s">
        <v>36</v>
      </c>
      <c r="Z13" s="4">
        <v>0.22916666666666666</v>
      </c>
      <c r="AA13" s="1"/>
      <c r="AB13" s="42"/>
      <c r="AC13" s="57"/>
      <c r="AK13" s="58"/>
      <c r="AM13" s="58"/>
    </row>
    <row r="14" spans="2:39" x14ac:dyDescent="0.3">
      <c r="B14" s="28"/>
      <c r="L14" s="50">
        <v>0.625</v>
      </c>
      <c r="M14" s="51" t="s">
        <v>18</v>
      </c>
      <c r="N14" s="51"/>
      <c r="O14" s="51"/>
      <c r="P14" s="51" t="s">
        <v>18</v>
      </c>
      <c r="Q14" s="50">
        <v>0.875</v>
      </c>
      <c r="X14" s="52">
        <v>0.27083333333333331</v>
      </c>
      <c r="Y14" s="53" t="s">
        <v>39</v>
      </c>
      <c r="Z14" s="53"/>
      <c r="AA14" s="53"/>
      <c r="AB14" s="53" t="s">
        <v>39</v>
      </c>
      <c r="AC14" s="56">
        <v>0.34375</v>
      </c>
    </row>
    <row r="15" spans="2:39" ht="15" thickBot="1" x14ac:dyDescent="0.35">
      <c r="B15" s="31"/>
      <c r="C15" s="2"/>
      <c r="D15" s="3"/>
      <c r="O15" s="52">
        <v>0.91666666666666663</v>
      </c>
      <c r="P15" s="53" t="s">
        <v>38</v>
      </c>
      <c r="Q15" s="53"/>
      <c r="R15" s="53"/>
      <c r="S15" s="53" t="s">
        <v>38</v>
      </c>
      <c r="T15" s="52">
        <v>0.66666666666666663</v>
      </c>
      <c r="Z15" s="29"/>
      <c r="AC15" s="30"/>
    </row>
    <row r="16" spans="2:39" x14ac:dyDescent="0.3">
      <c r="B16" s="31" t="s">
        <v>19</v>
      </c>
      <c r="E16" s="33"/>
      <c r="F16" s="34"/>
      <c r="G16" s="35" t="s">
        <v>14</v>
      </c>
      <c r="H16" s="33">
        <v>17.5</v>
      </c>
      <c r="I16" s="34"/>
      <c r="J16" s="35" t="s">
        <v>14</v>
      </c>
      <c r="K16" s="33">
        <v>14</v>
      </c>
      <c r="L16" s="34"/>
      <c r="M16" s="35" t="s">
        <v>14</v>
      </c>
      <c r="N16" s="33">
        <v>9</v>
      </c>
      <c r="O16" s="34"/>
      <c r="P16" s="35" t="s">
        <v>14</v>
      </c>
      <c r="Q16" s="33">
        <v>21</v>
      </c>
      <c r="R16" s="34"/>
      <c r="S16" s="35" t="s">
        <v>14</v>
      </c>
      <c r="T16" s="33">
        <v>16</v>
      </c>
      <c r="U16" s="34"/>
      <c r="V16" s="35" t="s">
        <v>14</v>
      </c>
      <c r="W16" s="33">
        <v>18</v>
      </c>
      <c r="X16" s="34"/>
      <c r="Y16" s="35" t="s">
        <v>14</v>
      </c>
      <c r="Z16" s="33">
        <v>5.5</v>
      </c>
      <c r="AA16" s="34"/>
      <c r="AB16" s="35" t="s">
        <v>14</v>
      </c>
      <c r="AC16" s="27">
        <v>8</v>
      </c>
      <c r="AF16">
        <f>H16+H17+K16+K17+N16+N17+Q16+Q17+T16+T17+W16+W17+Z16+Z17+AC16+AC17</f>
        <v>128.5</v>
      </c>
      <c r="AG16">
        <f>24*8</f>
        <v>192</v>
      </c>
      <c r="AH16">
        <f>AG16-AF16</f>
        <v>63.5</v>
      </c>
      <c r="AI16">
        <f>ROUNDUP(AF16/8,0)</f>
        <v>17</v>
      </c>
      <c r="AJ16">
        <f>ROUNDUP(AG16/8,0)</f>
        <v>24</v>
      </c>
      <c r="AK16" s="59">
        <f>AF16/AG16</f>
        <v>0.66927083333333337</v>
      </c>
      <c r="AL16" s="59">
        <f>AI16/AJ16</f>
        <v>0.70833333333333337</v>
      </c>
    </row>
    <row r="17" spans="2:39" ht="15" thickBot="1" x14ac:dyDescent="0.35">
      <c r="B17" s="31"/>
      <c r="E17" s="36"/>
      <c r="F17" s="37"/>
      <c r="G17" s="38" t="s">
        <v>15</v>
      </c>
      <c r="H17" s="36"/>
      <c r="I17" s="37"/>
      <c r="J17" s="38" t="s">
        <v>15</v>
      </c>
      <c r="K17" s="36"/>
      <c r="L17" s="37"/>
      <c r="M17" s="38" t="s">
        <v>15</v>
      </c>
      <c r="N17" s="36"/>
      <c r="O17" s="37"/>
      <c r="P17" s="38" t="s">
        <v>15</v>
      </c>
      <c r="Q17" s="36">
        <v>2</v>
      </c>
      <c r="R17" s="37"/>
      <c r="S17" s="38" t="s">
        <v>15</v>
      </c>
      <c r="T17" s="36"/>
      <c r="U17" s="37"/>
      <c r="V17" s="38" t="s">
        <v>15</v>
      </c>
      <c r="W17" s="36"/>
      <c r="X17" s="37"/>
      <c r="Y17" s="38" t="s">
        <v>15</v>
      </c>
      <c r="Z17" s="36">
        <v>17.5</v>
      </c>
      <c r="AA17" s="37"/>
      <c r="AB17" s="38" t="s">
        <v>15</v>
      </c>
      <c r="AC17" s="30"/>
    </row>
    <row r="18" spans="2:39" x14ac:dyDescent="0.3">
      <c r="B18" s="31"/>
      <c r="E18" s="36"/>
      <c r="F18" s="39"/>
      <c r="G18" s="38"/>
      <c r="H18" s="36"/>
      <c r="I18" s="39"/>
      <c r="J18" s="38"/>
      <c r="K18" s="36"/>
      <c r="L18" s="39"/>
      <c r="M18" s="38"/>
      <c r="N18" s="36"/>
      <c r="O18" s="39"/>
      <c r="P18" s="38"/>
      <c r="Q18" s="36"/>
      <c r="R18" s="39"/>
      <c r="S18" s="38"/>
      <c r="T18" s="36"/>
      <c r="U18" s="39"/>
      <c r="V18" s="38"/>
      <c r="W18" s="36"/>
      <c r="X18" s="39"/>
      <c r="Y18" s="38"/>
      <c r="Z18" s="36"/>
      <c r="AA18" s="39"/>
      <c r="AB18" s="38"/>
      <c r="AC18" s="30"/>
    </row>
    <row r="19" spans="2:39" ht="15" thickBot="1" x14ac:dyDescent="0.35">
      <c r="B19" s="31"/>
      <c r="C19" s="2"/>
      <c r="D19" s="3"/>
      <c r="E19" s="40"/>
      <c r="F19" s="37"/>
      <c r="G19" s="2" t="s">
        <v>16</v>
      </c>
      <c r="H19" s="40"/>
      <c r="I19" s="37"/>
      <c r="J19" s="2" t="s">
        <v>16</v>
      </c>
      <c r="K19" s="40"/>
      <c r="L19" s="37"/>
      <c r="M19" s="2" t="s">
        <v>16</v>
      </c>
      <c r="N19" s="40"/>
      <c r="O19" s="37"/>
      <c r="P19" s="2" t="s">
        <v>16</v>
      </c>
      <c r="Q19" s="40"/>
      <c r="R19" s="37"/>
      <c r="S19" s="2" t="s">
        <v>16</v>
      </c>
      <c r="T19" s="40"/>
      <c r="U19" s="37"/>
      <c r="V19" s="2" t="s">
        <v>16</v>
      </c>
      <c r="W19" s="40"/>
      <c r="X19" s="37"/>
      <c r="Y19" s="2" t="s">
        <v>16</v>
      </c>
      <c r="Z19" s="40"/>
      <c r="AA19" s="37"/>
      <c r="AB19" s="2" t="s">
        <v>16</v>
      </c>
      <c r="AC19" s="40"/>
    </row>
    <row r="20" spans="2:39" x14ac:dyDescent="0.3">
      <c r="B20" s="41"/>
      <c r="E20" s="1"/>
      <c r="R20" s="26"/>
      <c r="S20" s="1"/>
      <c r="T20" s="1"/>
      <c r="U20" s="1"/>
      <c r="V20" s="1"/>
      <c r="W20" s="26"/>
      <c r="X20" s="1"/>
      <c r="Y20" s="1"/>
      <c r="Z20" s="26"/>
      <c r="AA20" s="1"/>
      <c r="AB20" s="1"/>
      <c r="AC20" s="27"/>
      <c r="AK20" s="58"/>
      <c r="AM20" s="58"/>
    </row>
    <row r="21" spans="2:39" x14ac:dyDescent="0.3">
      <c r="B21" s="28"/>
      <c r="X21" s="29"/>
      <c r="AC21" s="43"/>
    </row>
    <row r="22" spans="2:39" ht="15" thickBot="1" x14ac:dyDescent="0.35">
      <c r="B22" s="31"/>
      <c r="C22" s="2"/>
      <c r="D22" s="3"/>
      <c r="AC22" s="32"/>
    </row>
    <row r="23" spans="2:39" x14ac:dyDescent="0.3">
      <c r="B23" s="31" t="s">
        <v>20</v>
      </c>
      <c r="E23" s="33"/>
      <c r="F23" s="34"/>
      <c r="G23" s="35" t="s">
        <v>14</v>
      </c>
      <c r="H23" s="33"/>
      <c r="I23" s="34"/>
      <c r="J23" s="35" t="s">
        <v>14</v>
      </c>
      <c r="K23" s="33"/>
      <c r="L23" s="34"/>
      <c r="M23" s="35" t="s">
        <v>14</v>
      </c>
      <c r="N23" s="33"/>
      <c r="O23" s="34"/>
      <c r="P23" s="35" t="s">
        <v>14</v>
      </c>
      <c r="Q23" s="33"/>
      <c r="R23" s="34"/>
      <c r="S23" s="35" t="s">
        <v>14</v>
      </c>
      <c r="T23" s="33"/>
      <c r="U23" s="34"/>
      <c r="V23" s="35" t="s">
        <v>14</v>
      </c>
      <c r="W23" s="33"/>
      <c r="X23" s="34"/>
      <c r="Y23" s="35" t="s">
        <v>14</v>
      </c>
      <c r="Z23" s="33"/>
      <c r="AA23" s="34"/>
      <c r="AB23" s="35" t="s">
        <v>14</v>
      </c>
      <c r="AC23" s="27"/>
      <c r="AF23">
        <f>H23+H24+K23+K24+N23+N24+Q23+Q24+T23+T24+W23+W24+Z23+Z24+AC23+AC24</f>
        <v>0</v>
      </c>
      <c r="AG23">
        <f>24*8</f>
        <v>192</v>
      </c>
      <c r="AH23">
        <f>AG23-AF23</f>
        <v>192</v>
      </c>
      <c r="AI23">
        <f>ROUNDUP(AF23/8,0)</f>
        <v>0</v>
      </c>
      <c r="AJ23">
        <f>ROUNDUP(AG23/8,0)</f>
        <v>24</v>
      </c>
      <c r="AK23" s="59">
        <f>AF23/AG23</f>
        <v>0</v>
      </c>
      <c r="AL23" s="59">
        <f>AI23/AJ23</f>
        <v>0</v>
      </c>
    </row>
    <row r="24" spans="2:39" ht="15" thickBot="1" x14ac:dyDescent="0.35">
      <c r="B24" s="31"/>
      <c r="E24" s="36"/>
      <c r="F24" s="37"/>
      <c r="G24" s="38" t="s">
        <v>15</v>
      </c>
      <c r="H24" s="36"/>
      <c r="I24" s="37"/>
      <c r="J24" s="38" t="s">
        <v>15</v>
      </c>
      <c r="K24" s="36"/>
      <c r="L24" s="37"/>
      <c r="M24" s="38" t="s">
        <v>15</v>
      </c>
      <c r="N24" s="36"/>
      <c r="O24" s="37"/>
      <c r="P24" s="38" t="s">
        <v>15</v>
      </c>
      <c r="Q24" s="36"/>
      <c r="R24" s="37"/>
      <c r="S24" s="38" t="s">
        <v>15</v>
      </c>
      <c r="T24" s="36"/>
      <c r="U24" s="37"/>
      <c r="V24" s="38" t="s">
        <v>15</v>
      </c>
      <c r="W24" s="36"/>
      <c r="X24" s="37"/>
      <c r="Y24" s="38" t="s">
        <v>15</v>
      </c>
      <c r="Z24" s="36"/>
      <c r="AA24" s="37"/>
      <c r="AB24" s="38" t="s">
        <v>15</v>
      </c>
      <c r="AC24" s="30"/>
    </row>
    <row r="25" spans="2:39" x14ac:dyDescent="0.3">
      <c r="B25" s="31"/>
      <c r="E25" s="36"/>
      <c r="F25" s="39"/>
      <c r="G25" s="38"/>
      <c r="H25" s="36"/>
      <c r="I25" s="39"/>
      <c r="J25" s="38"/>
      <c r="K25" s="36"/>
      <c r="L25" s="39"/>
      <c r="M25" s="38"/>
      <c r="N25" s="36"/>
      <c r="O25" s="39"/>
      <c r="P25" s="38"/>
      <c r="Q25" s="36"/>
      <c r="R25" s="39"/>
      <c r="S25" s="38"/>
      <c r="T25" s="36"/>
      <c r="U25" s="39"/>
      <c r="V25" s="38"/>
      <c r="W25" s="36"/>
      <c r="X25" s="39"/>
      <c r="Y25" s="38"/>
      <c r="Z25" s="36"/>
      <c r="AA25" s="39"/>
      <c r="AB25" s="38"/>
      <c r="AC25" s="30"/>
    </row>
    <row r="26" spans="2:39" ht="15" thickBot="1" x14ac:dyDescent="0.35">
      <c r="B26" s="31"/>
      <c r="C26" s="2"/>
      <c r="D26" s="3"/>
      <c r="E26" s="40"/>
      <c r="F26" s="37"/>
      <c r="G26" s="2" t="s">
        <v>16</v>
      </c>
      <c r="H26" s="40"/>
      <c r="I26" s="37"/>
      <c r="J26" s="2" t="s">
        <v>16</v>
      </c>
      <c r="K26" s="40"/>
      <c r="L26" s="37"/>
      <c r="M26" s="2" t="s">
        <v>16</v>
      </c>
      <c r="N26" s="40"/>
      <c r="O26" s="37"/>
      <c r="P26" s="2" t="s">
        <v>16</v>
      </c>
      <c r="Q26" s="40"/>
      <c r="R26" s="37"/>
      <c r="S26" s="2" t="s">
        <v>16</v>
      </c>
      <c r="T26" s="40"/>
      <c r="U26" s="37"/>
      <c r="V26" s="2" t="s">
        <v>16</v>
      </c>
      <c r="W26" s="40"/>
      <c r="X26" s="37"/>
      <c r="Y26" s="2" t="s">
        <v>16</v>
      </c>
      <c r="Z26" s="40"/>
      <c r="AA26" s="37"/>
      <c r="AB26" s="2" t="s">
        <v>16</v>
      </c>
      <c r="AC26" s="40"/>
    </row>
    <row r="27" spans="2:39" x14ac:dyDescent="0.3">
      <c r="B27" s="41"/>
      <c r="E27" s="1"/>
      <c r="F27" s="48">
        <v>0.3840277777777778</v>
      </c>
      <c r="G27" s="49" t="s">
        <v>21</v>
      </c>
      <c r="H27" s="49"/>
      <c r="I27" s="49"/>
      <c r="J27" s="49" t="s">
        <v>21</v>
      </c>
      <c r="K27" s="48">
        <v>0.5</v>
      </c>
      <c r="L27" s="1"/>
      <c r="M27" s="1"/>
      <c r="N27" s="1"/>
      <c r="O27" s="1"/>
      <c r="P27" s="1"/>
      <c r="Q27" s="1"/>
      <c r="R27" s="26"/>
      <c r="S27" s="1"/>
      <c r="T27" s="1"/>
      <c r="U27" s="1"/>
      <c r="V27" s="1"/>
      <c r="W27" s="26"/>
      <c r="X27" s="26"/>
      <c r="Y27" s="1"/>
      <c r="Z27" s="26"/>
      <c r="AA27" s="1"/>
      <c r="AB27" s="1"/>
      <c r="AC27" s="27"/>
      <c r="AK27" s="58"/>
      <c r="AM27" s="58"/>
    </row>
    <row r="28" spans="2:39" x14ac:dyDescent="0.3">
      <c r="B28" s="28"/>
      <c r="I28" s="50">
        <v>0.54166666666666663</v>
      </c>
      <c r="J28" s="51" t="s">
        <v>25</v>
      </c>
      <c r="K28" s="51"/>
      <c r="L28" s="51"/>
      <c r="M28" s="51" t="s">
        <v>25</v>
      </c>
      <c r="N28" s="51"/>
      <c r="O28" s="51"/>
      <c r="P28" s="51" t="s">
        <v>25</v>
      </c>
      <c r="Q28" s="50">
        <v>0.20833333333333334</v>
      </c>
      <c r="X28" s="29"/>
      <c r="AC28" s="43"/>
    </row>
    <row r="29" spans="2:39" ht="15" thickBot="1" x14ac:dyDescent="0.35">
      <c r="B29" s="31"/>
      <c r="C29" s="2"/>
      <c r="D29" s="3"/>
      <c r="O29" s="52">
        <v>0.25</v>
      </c>
      <c r="P29" s="53" t="s">
        <v>31</v>
      </c>
      <c r="Q29" s="53"/>
      <c r="R29" s="53"/>
      <c r="S29" s="53" t="s">
        <v>31</v>
      </c>
      <c r="T29" s="52">
        <v>0.1388888888888889</v>
      </c>
      <c r="W29" s="3"/>
      <c r="AC29" s="3"/>
      <c r="AD29" s="38"/>
    </row>
    <row r="30" spans="2:39" x14ac:dyDescent="0.3">
      <c r="B30" s="31" t="s">
        <v>23</v>
      </c>
      <c r="E30" s="33"/>
      <c r="F30" s="34"/>
      <c r="G30" s="35" t="s">
        <v>14</v>
      </c>
      <c r="H30" s="33">
        <v>15</v>
      </c>
      <c r="I30" s="34"/>
      <c r="J30" s="35" t="s">
        <v>14</v>
      </c>
      <c r="K30" s="33">
        <v>12</v>
      </c>
      <c r="L30" s="34"/>
      <c r="M30" s="35" t="s">
        <v>14</v>
      </c>
      <c r="N30" s="33">
        <v>24</v>
      </c>
      <c r="O30" s="34"/>
      <c r="P30" s="35" t="s">
        <v>14</v>
      </c>
      <c r="Q30" s="33">
        <v>5</v>
      </c>
      <c r="R30" s="34"/>
      <c r="S30" s="35" t="s">
        <v>14</v>
      </c>
      <c r="T30" s="33">
        <v>3</v>
      </c>
      <c r="U30" s="34"/>
      <c r="V30" s="35" t="s">
        <v>14</v>
      </c>
      <c r="W30" s="33"/>
      <c r="X30" s="34"/>
      <c r="Y30" s="35" t="s">
        <v>14</v>
      </c>
      <c r="Z30" s="33"/>
      <c r="AA30" s="34"/>
      <c r="AB30" s="35" t="s">
        <v>14</v>
      </c>
      <c r="AC30" s="27"/>
      <c r="AF30">
        <f>H30+H31+K30+K31+N30+N31+Q30+Q31+T30+T31+W30+W31+Z30+Z31+AC30+AC31</f>
        <v>88</v>
      </c>
      <c r="AG30">
        <f>24*8</f>
        <v>192</v>
      </c>
      <c r="AH30">
        <f>AG30-AF30</f>
        <v>104</v>
      </c>
      <c r="AI30">
        <f>ROUNDUP(AF30/8,0)</f>
        <v>11</v>
      </c>
      <c r="AJ30">
        <f>ROUNDUP(AG30/8,0)</f>
        <v>24</v>
      </c>
      <c r="AK30" s="59">
        <f>AF30/AG30</f>
        <v>0.45833333333333331</v>
      </c>
      <c r="AL30" s="59">
        <f>AI30/AJ30</f>
        <v>0.45833333333333331</v>
      </c>
    </row>
    <row r="31" spans="2:39" ht="15" thickBot="1" x14ac:dyDescent="0.35">
      <c r="B31" s="31"/>
      <c r="E31" s="36"/>
      <c r="F31" s="37"/>
      <c r="G31" s="38" t="s">
        <v>15</v>
      </c>
      <c r="H31" s="36"/>
      <c r="I31" s="37"/>
      <c r="J31" s="38" t="s">
        <v>15</v>
      </c>
      <c r="K31" s="36">
        <v>11</v>
      </c>
      <c r="L31" s="37"/>
      <c r="M31" s="38" t="s">
        <v>15</v>
      </c>
      <c r="N31" s="36"/>
      <c r="O31" s="37"/>
      <c r="P31" s="38" t="s">
        <v>15</v>
      </c>
      <c r="Q31" s="36">
        <v>18</v>
      </c>
      <c r="R31" s="37"/>
      <c r="S31" s="38" t="s">
        <v>15</v>
      </c>
      <c r="T31" s="36"/>
      <c r="U31" s="37"/>
      <c r="V31" s="38" t="s">
        <v>15</v>
      </c>
      <c r="W31" s="36"/>
      <c r="X31" s="37"/>
      <c r="Y31" s="38" t="s">
        <v>15</v>
      </c>
      <c r="Z31" s="36"/>
      <c r="AA31" s="37"/>
      <c r="AB31" s="38" t="s">
        <v>15</v>
      </c>
      <c r="AC31" s="30"/>
    </row>
    <row r="32" spans="2:39" x14ac:dyDescent="0.3">
      <c r="B32" s="31"/>
      <c r="E32" s="36"/>
      <c r="F32" s="39"/>
      <c r="G32" s="38"/>
      <c r="H32" s="36"/>
      <c r="I32" s="39"/>
      <c r="J32" s="38"/>
      <c r="K32" s="36"/>
      <c r="L32" s="39"/>
      <c r="M32" s="38"/>
      <c r="N32" s="36"/>
      <c r="O32" s="39"/>
      <c r="P32" s="38"/>
      <c r="Q32" s="36"/>
      <c r="R32" s="39"/>
      <c r="S32" s="38"/>
      <c r="T32" s="36"/>
      <c r="U32" s="39"/>
      <c r="V32" s="38"/>
      <c r="W32" s="36"/>
      <c r="X32" s="39"/>
      <c r="Y32" s="38"/>
      <c r="Z32" s="36"/>
      <c r="AA32" s="39"/>
      <c r="AB32" s="38"/>
      <c r="AC32" s="30"/>
    </row>
    <row r="33" spans="2:39" ht="15" thickBot="1" x14ac:dyDescent="0.35">
      <c r="B33" s="31"/>
      <c r="C33" s="2"/>
      <c r="D33" s="3"/>
      <c r="E33" s="40"/>
      <c r="F33" s="37"/>
      <c r="G33" s="2" t="s">
        <v>16</v>
      </c>
      <c r="H33" s="40"/>
      <c r="I33" s="37"/>
      <c r="J33" s="2" t="s">
        <v>16</v>
      </c>
      <c r="K33" s="40"/>
      <c r="L33" s="37"/>
      <c r="M33" s="2" t="s">
        <v>16</v>
      </c>
      <c r="N33" s="40"/>
      <c r="O33" s="37"/>
      <c r="P33" s="2" t="s">
        <v>16</v>
      </c>
      <c r="Q33" s="40"/>
      <c r="R33" s="37"/>
      <c r="S33" s="2" t="s">
        <v>16</v>
      </c>
      <c r="T33" s="40"/>
      <c r="U33" s="37"/>
      <c r="V33" s="2" t="s">
        <v>16</v>
      </c>
      <c r="W33" s="40"/>
      <c r="X33" s="37"/>
      <c r="Y33" s="2" t="s">
        <v>16</v>
      </c>
      <c r="Z33" s="40"/>
      <c r="AA33" s="37"/>
      <c r="AB33" s="2" t="s">
        <v>16</v>
      </c>
      <c r="AC33" s="40"/>
    </row>
    <row r="34" spans="2:39" x14ac:dyDescent="0.3">
      <c r="B34" s="41"/>
      <c r="E34" s="1"/>
      <c r="F34" s="48">
        <v>0.43263888888888891</v>
      </c>
      <c r="G34" s="49" t="s">
        <v>24</v>
      </c>
      <c r="H34" s="49"/>
      <c r="I34" s="49"/>
      <c r="J34" s="49" t="s">
        <v>24</v>
      </c>
      <c r="K34" s="48">
        <v>0.20833333333333334</v>
      </c>
      <c r="L34" s="1"/>
      <c r="M34" s="1"/>
      <c r="N34" s="1"/>
      <c r="O34" s="1"/>
      <c r="P34" s="1"/>
      <c r="Q34" s="1"/>
      <c r="R34" s="1"/>
      <c r="S34" s="1"/>
      <c r="T34" s="1"/>
      <c r="U34" s="4">
        <v>0.64583333333333337</v>
      </c>
      <c r="V34" s="5" t="s">
        <v>29</v>
      </c>
      <c r="W34" s="5"/>
      <c r="X34" s="4"/>
      <c r="Y34" s="5" t="s">
        <v>29</v>
      </c>
      <c r="Z34" s="5"/>
      <c r="AA34" s="5"/>
      <c r="AB34" s="5" t="s">
        <v>29</v>
      </c>
      <c r="AC34" s="55">
        <v>0.4375</v>
      </c>
      <c r="AK34" s="58"/>
      <c r="AM34" s="58"/>
    </row>
    <row r="35" spans="2:39" x14ac:dyDescent="0.3">
      <c r="B35" s="28"/>
      <c r="I35" s="50">
        <v>0.25</v>
      </c>
      <c r="J35" s="51" t="s">
        <v>22</v>
      </c>
      <c r="K35" s="51"/>
      <c r="L35" s="51"/>
      <c r="M35" s="51" t="s">
        <v>22</v>
      </c>
      <c r="N35" s="51"/>
      <c r="O35" s="51"/>
      <c r="P35" s="51" t="s">
        <v>22</v>
      </c>
      <c r="Q35" s="50">
        <v>0.16666666666666666</v>
      </c>
      <c r="AC35" s="30"/>
    </row>
    <row r="36" spans="2:39" ht="15" thickBot="1" x14ac:dyDescent="0.35">
      <c r="B36" s="31"/>
      <c r="C36" s="2"/>
      <c r="D36" s="3"/>
      <c r="O36" s="52">
        <v>0.20833333333333334</v>
      </c>
      <c r="P36" s="53" t="s">
        <v>32</v>
      </c>
      <c r="Q36" s="53"/>
      <c r="R36" s="53"/>
      <c r="S36" s="53" t="s">
        <v>32</v>
      </c>
      <c r="T36" s="52"/>
      <c r="U36" s="53"/>
      <c r="V36" s="53" t="s">
        <v>32</v>
      </c>
      <c r="W36" s="60">
        <v>0.60416666666666663</v>
      </c>
      <c r="Z36" s="44"/>
      <c r="AC36" s="30"/>
    </row>
    <row r="37" spans="2:39" x14ac:dyDescent="0.3">
      <c r="B37" s="31" t="s">
        <v>26</v>
      </c>
      <c r="E37" s="33"/>
      <c r="F37" s="34"/>
      <c r="G37" s="35" t="s">
        <v>14</v>
      </c>
      <c r="H37" s="33">
        <v>13.5</v>
      </c>
      <c r="I37" s="34"/>
      <c r="J37" s="35" t="s">
        <v>14</v>
      </c>
      <c r="K37" s="33">
        <v>5</v>
      </c>
      <c r="L37" s="34"/>
      <c r="M37" s="35" t="s">
        <v>14</v>
      </c>
      <c r="N37" s="33">
        <v>24</v>
      </c>
      <c r="O37" s="34"/>
      <c r="P37" s="35" t="s">
        <v>14</v>
      </c>
      <c r="Q37" s="33">
        <v>4</v>
      </c>
      <c r="R37" s="34"/>
      <c r="S37" s="35" t="s">
        <v>14</v>
      </c>
      <c r="T37" s="33">
        <v>24</v>
      </c>
      <c r="U37" s="34"/>
      <c r="V37" s="35" t="s">
        <v>14</v>
      </c>
      <c r="W37" s="33">
        <v>23</v>
      </c>
      <c r="X37" s="34"/>
      <c r="Y37" s="35" t="s">
        <v>14</v>
      </c>
      <c r="Z37" s="33">
        <v>24</v>
      </c>
      <c r="AA37" s="34"/>
      <c r="AB37" s="35" t="s">
        <v>14</v>
      </c>
      <c r="AC37" s="27">
        <v>10.5</v>
      </c>
      <c r="AF37">
        <f>H37+H38+K37+K38+N37+N38+Q37+Q38+T37+T38+W37+W38+Z37+Z38+AC37+AC38</f>
        <v>165</v>
      </c>
      <c r="AG37">
        <f>24*8</f>
        <v>192</v>
      </c>
      <c r="AH37">
        <f>AG37-AF37</f>
        <v>27</v>
      </c>
      <c r="AI37">
        <f>ROUNDUP(AF37/8,0)</f>
        <v>21</v>
      </c>
      <c r="AJ37">
        <f>ROUNDUP(AG37/8,0)</f>
        <v>24</v>
      </c>
      <c r="AK37" s="59">
        <f>AF37/AG37</f>
        <v>0.859375</v>
      </c>
      <c r="AL37" s="59">
        <f>AI37/AJ37</f>
        <v>0.875</v>
      </c>
    </row>
    <row r="38" spans="2:39" ht="15" thickBot="1" x14ac:dyDescent="0.35">
      <c r="B38" s="31"/>
      <c r="E38" s="36"/>
      <c r="F38" s="37"/>
      <c r="G38" s="38" t="s">
        <v>15</v>
      </c>
      <c r="H38" s="36"/>
      <c r="I38" s="37"/>
      <c r="J38" s="38" t="s">
        <v>15</v>
      </c>
      <c r="K38" s="36">
        <v>18</v>
      </c>
      <c r="L38" s="37"/>
      <c r="M38" s="38" t="s">
        <v>15</v>
      </c>
      <c r="N38" s="36"/>
      <c r="O38" s="37"/>
      <c r="P38" s="38" t="s">
        <v>15</v>
      </c>
      <c r="Q38" s="36">
        <v>19</v>
      </c>
      <c r="R38" s="37"/>
      <c r="S38" s="38" t="s">
        <v>15</v>
      </c>
      <c r="T38" s="36"/>
      <c r="U38" s="37"/>
      <c r="V38" s="38" t="s">
        <v>15</v>
      </c>
      <c r="W38" s="36"/>
      <c r="X38" s="37"/>
      <c r="Y38" s="38" t="s">
        <v>15</v>
      </c>
      <c r="Z38" s="36"/>
      <c r="AA38" s="37"/>
      <c r="AB38" s="38" t="s">
        <v>15</v>
      </c>
      <c r="AC38" s="30"/>
    </row>
    <row r="39" spans="2:39" x14ac:dyDescent="0.3">
      <c r="B39" s="31"/>
      <c r="E39" s="36"/>
      <c r="F39" s="39"/>
      <c r="G39" s="38"/>
      <c r="H39" s="36"/>
      <c r="I39" s="39"/>
      <c r="J39" s="38"/>
      <c r="K39" s="36"/>
      <c r="L39" s="39"/>
      <c r="M39" s="38"/>
      <c r="N39" s="36"/>
      <c r="O39" s="39"/>
      <c r="P39" s="38"/>
      <c r="Q39" s="36"/>
      <c r="R39" s="39"/>
      <c r="S39" s="38"/>
      <c r="T39" s="36"/>
      <c r="U39" s="39"/>
      <c r="V39" s="38"/>
      <c r="W39" s="36"/>
      <c r="X39" s="39"/>
      <c r="Y39" s="38"/>
      <c r="Z39" s="36"/>
      <c r="AA39" s="39"/>
      <c r="AB39" s="38"/>
      <c r="AC39" s="30"/>
    </row>
    <row r="40" spans="2:39" ht="15" thickBot="1" x14ac:dyDescent="0.35">
      <c r="B40" s="45"/>
      <c r="C40" s="2"/>
      <c r="D40" s="3"/>
      <c r="E40" s="40"/>
      <c r="F40" s="37"/>
      <c r="G40" s="2" t="s">
        <v>16</v>
      </c>
      <c r="H40" s="40"/>
      <c r="I40" s="37"/>
      <c r="J40" s="2" t="s">
        <v>16</v>
      </c>
      <c r="K40" s="40"/>
      <c r="L40" s="37"/>
      <c r="M40" s="2" t="s">
        <v>16</v>
      </c>
      <c r="N40" s="40"/>
      <c r="O40" s="37"/>
      <c r="P40" s="2" t="s">
        <v>16</v>
      </c>
      <c r="Q40" s="40"/>
      <c r="R40" s="37"/>
      <c r="S40" s="2" t="s">
        <v>16</v>
      </c>
      <c r="T40" s="40"/>
      <c r="U40" s="37"/>
      <c r="V40" s="2" t="s">
        <v>16</v>
      </c>
      <c r="W40" s="40"/>
      <c r="X40" s="37"/>
      <c r="Y40" s="2" t="s">
        <v>16</v>
      </c>
      <c r="Z40" s="40"/>
      <c r="AA40" s="37"/>
      <c r="AB40" s="2" t="s">
        <v>16</v>
      </c>
      <c r="AC40" s="40"/>
    </row>
    <row r="41" spans="2:39" x14ac:dyDescent="0.3">
      <c r="B41" s="41"/>
      <c r="C41" s="6"/>
      <c r="D41" s="6" t="s">
        <v>27</v>
      </c>
      <c r="E41" s="6"/>
      <c r="F41" s="6"/>
      <c r="G41" s="6" t="s">
        <v>27</v>
      </c>
      <c r="H41" s="6"/>
      <c r="I41" s="6"/>
      <c r="J41" s="6" t="s">
        <v>27</v>
      </c>
      <c r="K41" s="6"/>
      <c r="L41" s="6"/>
      <c r="M41" s="6" t="s">
        <v>27</v>
      </c>
      <c r="N41" s="7">
        <v>0.83333333333333337</v>
      </c>
      <c r="O41" s="1"/>
      <c r="P41" s="1"/>
      <c r="Q41" s="1"/>
      <c r="U41" s="1"/>
      <c r="V41" s="1"/>
      <c r="W41" s="1"/>
      <c r="X41" s="26"/>
      <c r="Y41" s="1"/>
      <c r="Z41" s="26"/>
      <c r="AA41" s="4">
        <v>0.83333333333333337</v>
      </c>
      <c r="AB41" s="5" t="s">
        <v>35</v>
      </c>
      <c r="AC41" s="55"/>
      <c r="AK41" s="58"/>
    </row>
    <row r="42" spans="2:39" x14ac:dyDescent="0.3">
      <c r="B42" s="28"/>
      <c r="L42" s="52">
        <v>0.875</v>
      </c>
      <c r="M42" s="53" t="s">
        <v>30</v>
      </c>
      <c r="N42" s="53"/>
      <c r="O42" s="53"/>
      <c r="P42" s="53" t="s">
        <v>30</v>
      </c>
      <c r="Q42" s="53"/>
      <c r="R42" s="53"/>
      <c r="S42" s="53" t="s">
        <v>30</v>
      </c>
      <c r="T42" s="52">
        <v>0.6875</v>
      </c>
      <c r="X42" s="52">
        <v>0.52083333333333337</v>
      </c>
      <c r="Y42" s="53" t="s">
        <v>37</v>
      </c>
      <c r="Z42" s="53"/>
      <c r="AA42" s="52"/>
      <c r="AB42" s="53" t="s">
        <v>37</v>
      </c>
      <c r="AC42" s="56">
        <v>0.79166666666666663</v>
      </c>
    </row>
    <row r="43" spans="2:39" ht="15" thickBot="1" x14ac:dyDescent="0.35">
      <c r="B43" s="31"/>
      <c r="C43" s="2"/>
      <c r="D43" s="3"/>
      <c r="R43" s="52">
        <v>0.72916666666666663</v>
      </c>
      <c r="S43" s="53" t="s">
        <v>33</v>
      </c>
      <c r="T43" s="53"/>
      <c r="U43" s="52"/>
      <c r="V43" s="53" t="s">
        <v>33</v>
      </c>
      <c r="W43" s="53"/>
      <c r="X43" s="53"/>
      <c r="Y43" s="53" t="s">
        <v>33</v>
      </c>
      <c r="Z43" s="52">
        <v>5.5555555555555552E-2</v>
      </c>
      <c r="AC43" s="30"/>
    </row>
    <row r="44" spans="2:39" x14ac:dyDescent="0.3">
      <c r="B44" s="31" t="s">
        <v>28</v>
      </c>
      <c r="E44" s="33"/>
      <c r="F44" s="34"/>
      <c r="G44" s="35" t="s">
        <v>14</v>
      </c>
      <c r="H44" s="33"/>
      <c r="I44" s="34"/>
      <c r="J44" s="35" t="s">
        <v>14</v>
      </c>
      <c r="K44" s="33"/>
      <c r="L44" s="34"/>
      <c r="M44" s="35" t="s">
        <v>14</v>
      </c>
      <c r="N44" s="33">
        <v>3</v>
      </c>
      <c r="O44" s="34"/>
      <c r="P44" s="35" t="s">
        <v>14</v>
      </c>
      <c r="Q44" s="33">
        <v>24</v>
      </c>
      <c r="R44" s="34"/>
      <c r="S44" s="35" t="s">
        <v>14</v>
      </c>
      <c r="T44" s="33">
        <v>16.5</v>
      </c>
      <c r="U44" s="34"/>
      <c r="V44" s="35" t="s">
        <v>14</v>
      </c>
      <c r="W44" s="33">
        <v>24</v>
      </c>
      <c r="X44" s="34"/>
      <c r="Y44" s="35" t="s">
        <v>14</v>
      </c>
      <c r="Z44" s="33">
        <v>11.5</v>
      </c>
      <c r="AA44" s="34"/>
      <c r="AB44" s="35" t="s">
        <v>14</v>
      </c>
      <c r="AC44" s="27">
        <v>4</v>
      </c>
      <c r="AF44">
        <f>H44+H45+K44+K45+N44+N45+Q44+Q45+T44+T45+W44+W45+Z44+Z45+AC44+AC45</f>
        <v>109.5</v>
      </c>
      <c r="AG44">
        <f>24*5+4</f>
        <v>124</v>
      </c>
      <c r="AH44">
        <f>AG44-AF44</f>
        <v>14.5</v>
      </c>
      <c r="AI44">
        <f>ROUNDUP(AF44/8,0)</f>
        <v>14</v>
      </c>
      <c r="AJ44">
        <f>ROUNDUP(AG44/8,0)</f>
        <v>16</v>
      </c>
      <c r="AK44" s="59">
        <f>AF44/AG44</f>
        <v>0.88306451612903225</v>
      </c>
      <c r="AL44" s="59">
        <f>AI44/AJ44</f>
        <v>0.875</v>
      </c>
    </row>
    <row r="45" spans="2:39" ht="15" thickBot="1" x14ac:dyDescent="0.35">
      <c r="B45" s="46"/>
      <c r="E45" s="36"/>
      <c r="F45" s="37"/>
      <c r="G45" s="38" t="s">
        <v>15</v>
      </c>
      <c r="H45" s="36"/>
      <c r="I45" s="37"/>
      <c r="J45" s="38" t="s">
        <v>15</v>
      </c>
      <c r="K45" s="36"/>
      <c r="L45" s="37"/>
      <c r="M45" s="38" t="s">
        <v>15</v>
      </c>
      <c r="N45" s="36"/>
      <c r="O45" s="37"/>
      <c r="P45" s="38" t="s">
        <v>15</v>
      </c>
      <c r="Q45" s="36"/>
      <c r="R45" s="37"/>
      <c r="S45" s="38" t="s">
        <v>15</v>
      </c>
      <c r="T45" s="36">
        <v>6.5</v>
      </c>
      <c r="U45" s="37"/>
      <c r="V45" s="38" t="s">
        <v>15</v>
      </c>
      <c r="W45" s="36"/>
      <c r="X45" s="37"/>
      <c r="Y45" s="38" t="s">
        <v>15</v>
      </c>
      <c r="Z45" s="36">
        <v>1</v>
      </c>
      <c r="AA45" s="37"/>
      <c r="AB45" s="38" t="s">
        <v>15</v>
      </c>
      <c r="AC45" s="30">
        <v>19</v>
      </c>
    </row>
    <row r="46" spans="2:39" x14ac:dyDescent="0.3">
      <c r="B46" s="46"/>
      <c r="E46" s="36"/>
      <c r="F46" s="39"/>
      <c r="G46" s="38"/>
      <c r="H46" s="36"/>
      <c r="I46" s="39"/>
      <c r="J46" s="38"/>
      <c r="K46" s="36"/>
      <c r="L46" s="39"/>
      <c r="M46" s="38"/>
      <c r="N46" s="36"/>
      <c r="O46" s="39"/>
      <c r="P46" s="38"/>
      <c r="Q46" s="36"/>
      <c r="R46" s="39"/>
      <c r="S46" s="38"/>
      <c r="T46" s="36"/>
      <c r="U46" s="39"/>
      <c r="V46" s="38"/>
      <c r="W46" s="36"/>
      <c r="X46" s="39"/>
      <c r="Y46" s="38"/>
      <c r="Z46" s="36"/>
      <c r="AA46" s="39"/>
      <c r="AB46" s="38"/>
      <c r="AC46" s="30"/>
    </row>
    <row r="47" spans="2:39" ht="15" thickBot="1" x14ac:dyDescent="0.35">
      <c r="B47" s="47"/>
      <c r="C47" s="2"/>
      <c r="D47" s="3"/>
      <c r="E47" s="40"/>
      <c r="F47" s="37"/>
      <c r="G47" s="2" t="s">
        <v>16</v>
      </c>
      <c r="H47" s="40"/>
      <c r="I47" s="37"/>
      <c r="J47" s="2" t="s">
        <v>16</v>
      </c>
      <c r="K47" s="40"/>
      <c r="L47" s="37"/>
      <c r="M47" s="2" t="s">
        <v>16</v>
      </c>
      <c r="N47" s="40"/>
      <c r="O47" s="37"/>
      <c r="P47" s="2" t="s">
        <v>16</v>
      </c>
      <c r="Q47" s="40"/>
      <c r="R47" s="37"/>
      <c r="S47" s="2" t="s">
        <v>16</v>
      </c>
      <c r="T47" s="40"/>
      <c r="U47" s="37"/>
      <c r="V47" s="2" t="s">
        <v>16</v>
      </c>
      <c r="W47" s="40"/>
      <c r="X47" s="37"/>
      <c r="Y47" s="2" t="s">
        <v>16</v>
      </c>
      <c r="Z47" s="40"/>
      <c r="AA47" s="37"/>
      <c r="AB47" s="2" t="s">
        <v>16</v>
      </c>
      <c r="AC47" s="40"/>
    </row>
    <row r="48" spans="2:39" x14ac:dyDescent="0.3">
      <c r="B48" s="8"/>
    </row>
    <row r="50" spans="16:16" x14ac:dyDescent="0.3">
      <c r="P50">
        <f>N44+Q44+T44</f>
        <v>43.5</v>
      </c>
    </row>
  </sheetData>
  <mergeCells count="1">
    <mergeCell ref="H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CFEB-6ED6-41EC-A145-5C561FC5AFEF}">
  <dimension ref="B2:BA34"/>
  <sheetViews>
    <sheetView topLeftCell="V4" workbookViewId="0">
      <selection activeCell="AJ37" sqref="AJ37"/>
    </sheetView>
  </sheetViews>
  <sheetFormatPr defaultColWidth="15.44140625" defaultRowHeight="14.4" x14ac:dyDescent="0.3"/>
  <cols>
    <col min="1" max="4" width="15.44140625" style="68"/>
    <col min="5" max="5" width="25.6640625" style="68" customWidth="1"/>
    <col min="6" max="15" width="15.44140625" style="68" hidden="1" customWidth="1"/>
    <col min="16" max="16" width="21" style="68" customWidth="1"/>
    <col min="17" max="18" width="19.33203125" style="68" customWidth="1"/>
    <col min="19" max="19" width="19.77734375" style="68" customWidth="1"/>
    <col min="20" max="21" width="19.88671875" style="68" customWidth="1"/>
    <col min="22" max="26" width="15.44140625" style="68"/>
    <col min="27" max="28" width="0" style="68" hidden="1" customWidth="1"/>
    <col min="29" max="16384" width="15.44140625" style="68"/>
  </cols>
  <sheetData>
    <row r="2" spans="2:53" s="63" customFormat="1" ht="43.2" x14ac:dyDescent="0.3">
      <c r="B2" s="61"/>
      <c r="C2" s="61" t="s">
        <v>47</v>
      </c>
      <c r="D2" s="61" t="s">
        <v>48</v>
      </c>
      <c r="E2" s="61" t="s">
        <v>49</v>
      </c>
      <c r="F2" s="61" t="s">
        <v>50</v>
      </c>
      <c r="G2" s="61" t="s">
        <v>51</v>
      </c>
      <c r="H2" s="61" t="s">
        <v>52</v>
      </c>
      <c r="I2" s="61" t="s">
        <v>53</v>
      </c>
      <c r="J2" s="61" t="s">
        <v>54</v>
      </c>
      <c r="K2" s="61" t="s">
        <v>55</v>
      </c>
      <c r="L2" s="61" t="s">
        <v>56</v>
      </c>
      <c r="M2" s="61" t="s">
        <v>57</v>
      </c>
      <c r="N2" s="61" t="s">
        <v>58</v>
      </c>
      <c r="O2" s="61" t="s">
        <v>59</v>
      </c>
      <c r="P2" s="61" t="s">
        <v>60</v>
      </c>
      <c r="Q2" s="61" t="s">
        <v>61</v>
      </c>
      <c r="R2" s="62" t="s">
        <v>62</v>
      </c>
      <c r="S2" s="61" t="s">
        <v>63</v>
      </c>
      <c r="T2" s="61" t="s">
        <v>64</v>
      </c>
      <c r="U2" s="62" t="s">
        <v>65</v>
      </c>
      <c r="V2" s="61" t="s">
        <v>66</v>
      </c>
      <c r="W2" s="61" t="s">
        <v>67</v>
      </c>
      <c r="X2" s="62" t="s">
        <v>68</v>
      </c>
      <c r="Y2" s="61" t="s">
        <v>69</v>
      </c>
      <c r="Z2" s="62" t="s">
        <v>70</v>
      </c>
      <c r="AA2" s="61" t="s">
        <v>71</v>
      </c>
      <c r="AB2" s="61" t="s">
        <v>72</v>
      </c>
      <c r="AC2" s="61" t="s">
        <v>73</v>
      </c>
      <c r="AD2" s="61" t="s">
        <v>74</v>
      </c>
      <c r="AE2" s="62" t="s">
        <v>75</v>
      </c>
      <c r="AF2" s="61" t="s">
        <v>76</v>
      </c>
      <c r="AG2" s="62" t="s">
        <v>77</v>
      </c>
      <c r="AH2" s="61" t="s">
        <v>78</v>
      </c>
      <c r="AI2" s="61" t="s">
        <v>79</v>
      </c>
      <c r="AJ2" s="61" t="s">
        <v>80</v>
      </c>
      <c r="AK2" s="62" t="s">
        <v>81</v>
      </c>
      <c r="AL2" s="61" t="s">
        <v>82</v>
      </c>
      <c r="AM2" s="62" t="s">
        <v>83</v>
      </c>
      <c r="AN2" s="61" t="s">
        <v>84</v>
      </c>
      <c r="AO2" s="61" t="s">
        <v>85</v>
      </c>
      <c r="AP2" s="61" t="s">
        <v>86</v>
      </c>
      <c r="AQ2" s="62" t="s">
        <v>87</v>
      </c>
      <c r="AR2" s="61" t="s">
        <v>88</v>
      </c>
      <c r="AS2" s="62" t="s">
        <v>89</v>
      </c>
      <c r="AT2" s="61" t="s">
        <v>90</v>
      </c>
      <c r="AU2" s="61" t="s">
        <v>91</v>
      </c>
      <c r="AV2" s="62" t="s">
        <v>92</v>
      </c>
      <c r="AW2" s="61" t="s">
        <v>93</v>
      </c>
      <c r="AX2" s="61" t="s">
        <v>94</v>
      </c>
      <c r="AY2" s="61" t="s">
        <v>95</v>
      </c>
      <c r="AZ2" s="61" t="s">
        <v>96</v>
      </c>
      <c r="BA2" s="61" t="s">
        <v>97</v>
      </c>
    </row>
    <row r="3" spans="2:53" ht="14.4" customHeight="1" x14ac:dyDescent="0.3">
      <c r="B3" s="100" t="s">
        <v>98</v>
      </c>
      <c r="C3" s="99" t="s">
        <v>99</v>
      </c>
      <c r="D3" s="99" t="s">
        <v>13</v>
      </c>
      <c r="E3" s="65" t="s">
        <v>11</v>
      </c>
      <c r="F3" s="65">
        <v>350.7</v>
      </c>
      <c r="G3" s="65">
        <v>1400</v>
      </c>
      <c r="H3" s="65" t="s">
        <v>100</v>
      </c>
      <c r="I3" s="65"/>
      <c r="J3" s="65"/>
      <c r="K3" s="65"/>
      <c r="L3" s="65"/>
      <c r="M3" s="65"/>
      <c r="N3" s="65"/>
      <c r="O3" s="65"/>
      <c r="P3" s="66">
        <v>45634</v>
      </c>
      <c r="Q3" s="66">
        <v>45634</v>
      </c>
      <c r="R3" s="66">
        <v>45634</v>
      </c>
      <c r="S3" s="66">
        <v>45635.666666666664</v>
      </c>
      <c r="T3" s="66">
        <v>45635.833333333336</v>
      </c>
      <c r="U3" s="66">
        <v>45635.666666666664</v>
      </c>
      <c r="V3" s="67">
        <f>(S3-P3)*24</f>
        <v>39.999999999941792</v>
      </c>
      <c r="W3" s="67">
        <f>(T3-Q3)*24</f>
        <v>44.000000000058208</v>
      </c>
      <c r="X3" s="67">
        <f>(U3-R3)*24</f>
        <v>39.999999999941792</v>
      </c>
      <c r="Y3" s="67">
        <f>$W$3-V3</f>
        <v>4.0000000001164153</v>
      </c>
      <c r="Z3" s="67">
        <f>W3-X3</f>
        <v>4.0000000001164153</v>
      </c>
      <c r="AA3" s="67"/>
      <c r="AB3" s="89">
        <v>1</v>
      </c>
      <c r="AC3" s="89">
        <v>100</v>
      </c>
      <c r="AD3" s="89">
        <v>165.5</v>
      </c>
      <c r="AE3" s="89">
        <v>152</v>
      </c>
      <c r="AF3" s="89">
        <f>AD3-AC3</f>
        <v>65.5</v>
      </c>
      <c r="AG3" s="89">
        <f>AD3-AE3</f>
        <v>13.5</v>
      </c>
      <c r="AH3" s="89">
        <v>192</v>
      </c>
      <c r="AI3" s="89">
        <v>13</v>
      </c>
      <c r="AJ3" s="89">
        <v>21</v>
      </c>
      <c r="AK3" s="89">
        <v>19</v>
      </c>
      <c r="AL3" s="89">
        <f>AJ3-AI3</f>
        <v>8</v>
      </c>
      <c r="AM3" s="89">
        <f>AJ3-AK3</f>
        <v>2</v>
      </c>
      <c r="AN3" s="89">
        <v>24</v>
      </c>
      <c r="AO3" s="89">
        <v>92</v>
      </c>
      <c r="AP3" s="89">
        <v>26.5</v>
      </c>
      <c r="AQ3" s="89">
        <v>40</v>
      </c>
      <c r="AR3" s="89">
        <f>AP3-AO3</f>
        <v>-65.5</v>
      </c>
      <c r="AS3" s="89">
        <f>AP3-AQ3</f>
        <v>-13.5</v>
      </c>
      <c r="AT3" s="92">
        <v>0.52083333333333337</v>
      </c>
      <c r="AU3" s="92">
        <v>0.86197916666666663</v>
      </c>
      <c r="AV3" s="92">
        <v>0.79166666666666663</v>
      </c>
      <c r="AW3" s="95">
        <f>AU3-AT3</f>
        <v>0.34114583333333326</v>
      </c>
      <c r="AX3" s="95">
        <f>AU3-AV3</f>
        <v>7.03125E-2</v>
      </c>
      <c r="AY3" s="89">
        <v>0</v>
      </c>
      <c r="AZ3" s="89">
        <v>2</v>
      </c>
      <c r="BA3" s="89">
        <v>0</v>
      </c>
    </row>
    <row r="4" spans="2:53" x14ac:dyDescent="0.3">
      <c r="B4" s="100"/>
      <c r="C4" s="99"/>
      <c r="D4" s="99"/>
      <c r="E4" s="65" t="s">
        <v>12</v>
      </c>
      <c r="F4" s="65">
        <v>348.5</v>
      </c>
      <c r="G4" s="65">
        <v>2000</v>
      </c>
      <c r="H4" s="65" t="s">
        <v>100</v>
      </c>
      <c r="I4" s="65"/>
      <c r="J4" s="65"/>
      <c r="K4" s="65"/>
      <c r="L4" s="65"/>
      <c r="M4" s="65"/>
      <c r="N4" s="65"/>
      <c r="O4" s="65"/>
      <c r="P4" s="66">
        <v>45635.708333333336</v>
      </c>
      <c r="Q4" s="66">
        <v>45635.875</v>
      </c>
      <c r="R4" s="66">
        <v>45635.708333333336</v>
      </c>
      <c r="S4" s="66">
        <v>45638.208333333336</v>
      </c>
      <c r="T4" s="66">
        <v>45637.999305555553</v>
      </c>
      <c r="U4" s="66">
        <v>45638.208333333336</v>
      </c>
      <c r="V4" s="67">
        <f>(S4-P4)*24</f>
        <v>60</v>
      </c>
      <c r="W4" s="67">
        <f>(T4-Q4)*24</f>
        <v>50.983333333279006</v>
      </c>
      <c r="X4" s="67">
        <f t="shared" ref="X4:X5" si="0">(U4-R4)*24</f>
        <v>60</v>
      </c>
      <c r="Y4" s="67">
        <f t="shared" ref="Y4:Z31" si="1">W4-V4</f>
        <v>-9.0166666667209938</v>
      </c>
      <c r="Z4" s="67">
        <f t="shared" ref="Z4:Z6" si="2">W4-X4</f>
        <v>-9.0166666667209938</v>
      </c>
      <c r="AA4" s="67" t="s">
        <v>100</v>
      </c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3"/>
      <c r="AU4" s="93"/>
      <c r="AV4" s="93"/>
      <c r="AW4" s="90"/>
      <c r="AX4" s="96"/>
      <c r="AY4" s="90"/>
      <c r="AZ4" s="90"/>
      <c r="BA4" s="90"/>
    </row>
    <row r="5" spans="2:53" x14ac:dyDescent="0.3">
      <c r="B5" s="100"/>
      <c r="C5" s="99"/>
      <c r="D5" s="99"/>
      <c r="E5" s="65" t="s">
        <v>34</v>
      </c>
      <c r="F5" s="65">
        <v>336.94</v>
      </c>
      <c r="G5" s="65">
        <v>4300</v>
      </c>
      <c r="H5" s="65"/>
      <c r="I5" s="65"/>
      <c r="J5" s="65" t="s">
        <v>100</v>
      </c>
      <c r="K5" s="65"/>
      <c r="L5" s="65"/>
      <c r="M5" s="65"/>
      <c r="N5" s="65"/>
      <c r="O5" s="69">
        <v>45636</v>
      </c>
      <c r="P5" s="66">
        <v>45638.25</v>
      </c>
      <c r="Q5" s="66">
        <v>45638.25</v>
      </c>
      <c r="R5" s="66">
        <v>45638.5</v>
      </c>
      <c r="S5" s="66">
        <v>45640.833333333336</v>
      </c>
      <c r="T5" s="66">
        <v>45640.4375</v>
      </c>
      <c r="U5" s="66">
        <v>45640.659722222219</v>
      </c>
      <c r="V5" s="67"/>
      <c r="W5" s="67">
        <f>(T5-Q5)*24</f>
        <v>52.5</v>
      </c>
      <c r="X5" s="67">
        <f t="shared" si="0"/>
        <v>51.833333333255723</v>
      </c>
      <c r="Y5" s="67">
        <f t="shared" si="1"/>
        <v>52.5</v>
      </c>
      <c r="Z5" s="67">
        <f t="shared" si="2"/>
        <v>0.66666666674427688</v>
      </c>
      <c r="AA5" s="67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3"/>
      <c r="AU5" s="93"/>
      <c r="AV5" s="93"/>
      <c r="AW5" s="90"/>
      <c r="AX5" s="96"/>
      <c r="AY5" s="90"/>
      <c r="AZ5" s="90"/>
      <c r="BA5" s="90"/>
    </row>
    <row r="6" spans="2:53" x14ac:dyDescent="0.3">
      <c r="B6" s="100"/>
      <c r="C6" s="99"/>
      <c r="D6" s="99"/>
      <c r="E6" s="65" t="s">
        <v>39</v>
      </c>
      <c r="F6" s="65">
        <v>294.02999999999997</v>
      </c>
      <c r="G6" s="65">
        <v>1000</v>
      </c>
      <c r="H6" s="65"/>
      <c r="I6" s="65"/>
      <c r="J6" s="65" t="s">
        <v>100</v>
      </c>
      <c r="K6" s="65"/>
      <c r="L6" s="65"/>
      <c r="M6" s="65"/>
      <c r="N6" s="65"/>
      <c r="O6" s="69">
        <v>45638</v>
      </c>
      <c r="P6" s="66">
        <v>45641.333333333336</v>
      </c>
      <c r="Q6" s="66">
        <v>45641.25</v>
      </c>
      <c r="R6" s="66">
        <v>45640.583333333336</v>
      </c>
      <c r="S6" s="66">
        <v>45641.999305555553</v>
      </c>
      <c r="T6" s="66">
        <v>45641.999305555553</v>
      </c>
      <c r="U6" s="66">
        <v>45641.34375</v>
      </c>
      <c r="V6" s="67"/>
      <c r="W6" s="67">
        <f>(T6-Q6)*24</f>
        <v>17.983333333279006</v>
      </c>
      <c r="X6" s="67">
        <f>(U6-R6)*24</f>
        <v>18.249999999941792</v>
      </c>
      <c r="Y6" s="67">
        <f t="shared" si="1"/>
        <v>17.983333333279006</v>
      </c>
      <c r="Z6" s="67">
        <f t="shared" si="2"/>
        <v>-0.26666666666278616</v>
      </c>
      <c r="AA6" s="67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3"/>
      <c r="AU6" s="93"/>
      <c r="AV6" s="93"/>
      <c r="AW6" s="90"/>
      <c r="AX6" s="96"/>
      <c r="AY6" s="90"/>
      <c r="AZ6" s="90"/>
      <c r="BA6" s="90"/>
    </row>
    <row r="7" spans="2:53" x14ac:dyDescent="0.3">
      <c r="B7" s="100"/>
      <c r="C7" s="99"/>
      <c r="D7" s="99"/>
      <c r="E7" s="70" t="s">
        <v>101</v>
      </c>
      <c r="F7" s="71"/>
      <c r="G7" s="71"/>
      <c r="H7" s="72"/>
      <c r="I7" s="71"/>
      <c r="J7" s="71"/>
      <c r="K7" s="71"/>
      <c r="L7" s="71">
        <v>2</v>
      </c>
      <c r="M7" s="71">
        <v>4</v>
      </c>
      <c r="N7" s="71"/>
      <c r="O7" s="71"/>
      <c r="P7" s="71"/>
      <c r="Q7" s="71"/>
      <c r="R7" s="71"/>
      <c r="S7" s="71"/>
      <c r="T7" s="71"/>
      <c r="U7" s="71"/>
      <c r="V7" s="73">
        <f>SUM(V3:V6)</f>
        <v>99.999999999941792</v>
      </c>
      <c r="W7" s="73">
        <f>SUM(W3:W6)</f>
        <v>165.46666666661622</v>
      </c>
      <c r="X7" s="73">
        <f>SUM(X3:X6)</f>
        <v>170.08333333313931</v>
      </c>
      <c r="Y7" s="73">
        <f>SUM(Y3:Y6)</f>
        <v>65.466666666674428</v>
      </c>
      <c r="Z7" s="73">
        <f>SUM(Z3:Z6)</f>
        <v>-4.6166666665230878</v>
      </c>
      <c r="AA7" s="74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4"/>
      <c r="AU7" s="94"/>
      <c r="AV7" s="94"/>
      <c r="AW7" s="91"/>
      <c r="AX7" s="97"/>
      <c r="AY7" s="91"/>
      <c r="AZ7" s="91"/>
      <c r="BA7" s="91"/>
    </row>
    <row r="8" spans="2:53" x14ac:dyDescent="0.3">
      <c r="B8" s="100"/>
      <c r="C8" s="99"/>
      <c r="D8" s="99" t="s">
        <v>19</v>
      </c>
      <c r="E8" s="65" t="s">
        <v>17</v>
      </c>
      <c r="F8" s="65">
        <v>279.89999999999998</v>
      </c>
      <c r="G8" s="65">
        <v>1300</v>
      </c>
      <c r="H8" s="65" t="s">
        <v>102</v>
      </c>
      <c r="I8" s="65"/>
      <c r="J8" s="65"/>
      <c r="K8" s="65"/>
      <c r="L8" s="65"/>
      <c r="M8" s="65"/>
      <c r="N8" s="65"/>
      <c r="O8" s="65"/>
      <c r="P8" s="66">
        <v>45634.270833333336</v>
      </c>
      <c r="Q8" s="66">
        <v>45634.270833333336</v>
      </c>
      <c r="R8" s="66">
        <v>45634.270833333336</v>
      </c>
      <c r="S8" s="66">
        <v>45635.583333333336</v>
      </c>
      <c r="T8" s="66">
        <v>45635.5</v>
      </c>
      <c r="U8" s="66">
        <v>45635.583333333336</v>
      </c>
      <c r="V8" s="67">
        <f>(S8-P8)*24</f>
        <v>31.5</v>
      </c>
      <c r="W8" s="67">
        <f>(T8-Q8)*24</f>
        <v>29.499999999941792</v>
      </c>
      <c r="X8" s="67">
        <f>(U8-R8)*24</f>
        <v>31.5</v>
      </c>
      <c r="Y8" s="67">
        <f t="shared" si="1"/>
        <v>-2.0000000000582077</v>
      </c>
      <c r="Z8" s="67">
        <f>W8-X8</f>
        <v>-2.0000000000582077</v>
      </c>
      <c r="AA8" s="67"/>
      <c r="AB8" s="89">
        <v>0</v>
      </c>
      <c r="AC8" s="89">
        <v>61.5</v>
      </c>
      <c r="AD8" s="89">
        <v>146</v>
      </c>
      <c r="AE8" s="89">
        <v>128.5</v>
      </c>
      <c r="AF8" s="89">
        <f>AD8-AC8</f>
        <v>84.5</v>
      </c>
      <c r="AG8" s="89">
        <f>AD8-AE8</f>
        <v>17.5</v>
      </c>
      <c r="AH8" s="89">
        <v>192</v>
      </c>
      <c r="AI8" s="89">
        <v>8</v>
      </c>
      <c r="AJ8" s="89">
        <v>19</v>
      </c>
      <c r="AK8" s="89">
        <v>17</v>
      </c>
      <c r="AL8" s="89">
        <f>AJ8-AI8</f>
        <v>11</v>
      </c>
      <c r="AM8" s="89">
        <f>AJ8-AK8</f>
        <v>2</v>
      </c>
      <c r="AN8" s="89">
        <v>24</v>
      </c>
      <c r="AO8" s="89">
        <v>130.5</v>
      </c>
      <c r="AP8" s="89">
        <v>46</v>
      </c>
      <c r="AQ8" s="89">
        <v>63.5</v>
      </c>
      <c r="AR8" s="89">
        <f>AP8-AO8</f>
        <v>-84.5</v>
      </c>
      <c r="AS8" s="89">
        <f>AP8-AQ8</f>
        <v>-17.5</v>
      </c>
      <c r="AT8" s="92">
        <v>0.3203125</v>
      </c>
      <c r="AU8" s="92">
        <v>0.76041666666666663</v>
      </c>
      <c r="AV8" s="92">
        <v>0.66927083333333337</v>
      </c>
      <c r="AW8" s="95">
        <f>AU8-AT8</f>
        <v>0.44010416666666663</v>
      </c>
      <c r="AX8" s="95">
        <f>AU8-AV8</f>
        <v>9.1145833333333259E-2</v>
      </c>
      <c r="AY8" s="89">
        <v>0</v>
      </c>
      <c r="AZ8" s="89">
        <v>3</v>
      </c>
      <c r="BA8" s="89">
        <v>0</v>
      </c>
    </row>
    <row r="9" spans="2:53" x14ac:dyDescent="0.3">
      <c r="B9" s="100"/>
      <c r="C9" s="99"/>
      <c r="D9" s="99"/>
      <c r="E9" s="65" t="s">
        <v>18</v>
      </c>
      <c r="F9" s="65">
        <v>299.92</v>
      </c>
      <c r="G9" s="65">
        <v>2600</v>
      </c>
      <c r="H9" s="65" t="s">
        <v>100</v>
      </c>
      <c r="I9" s="65"/>
      <c r="J9" s="65"/>
      <c r="K9" s="65"/>
      <c r="L9" s="65"/>
      <c r="M9" s="65"/>
      <c r="N9" s="65"/>
      <c r="O9" s="65"/>
      <c r="P9" s="66">
        <v>45636.625</v>
      </c>
      <c r="Q9" s="66">
        <v>45636.541666666664</v>
      </c>
      <c r="R9" s="66">
        <v>45636.625</v>
      </c>
      <c r="S9" s="66">
        <v>45637.875</v>
      </c>
      <c r="T9" s="66">
        <v>45637.854166666664</v>
      </c>
      <c r="U9" s="66">
        <v>45637.875</v>
      </c>
      <c r="V9" s="67">
        <f>(S9-P9)*24</f>
        <v>30</v>
      </c>
      <c r="W9" s="67">
        <f>(T9-Q9)*24</f>
        <v>31.5</v>
      </c>
      <c r="X9" s="67">
        <f t="shared" ref="X9:X11" si="3">(U9-R9)*24</f>
        <v>30</v>
      </c>
      <c r="Y9" s="67">
        <f t="shared" si="1"/>
        <v>1.5</v>
      </c>
      <c r="Z9" s="67">
        <f t="shared" ref="Z9:Z11" si="4">W9-X9</f>
        <v>1.5</v>
      </c>
      <c r="AA9" s="67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3"/>
      <c r="AU9" s="93"/>
      <c r="AV9" s="93"/>
      <c r="AW9" s="90"/>
      <c r="AX9" s="96"/>
      <c r="AY9" s="90"/>
      <c r="AZ9" s="90"/>
      <c r="BA9" s="90"/>
    </row>
    <row r="10" spans="2:53" x14ac:dyDescent="0.3">
      <c r="B10" s="100"/>
      <c r="C10" s="99"/>
      <c r="D10" s="99"/>
      <c r="E10" s="65" t="s">
        <v>38</v>
      </c>
      <c r="F10" s="65">
        <v>132.38</v>
      </c>
      <c r="G10" s="65">
        <v>270</v>
      </c>
      <c r="H10" s="65"/>
      <c r="I10" s="65"/>
      <c r="J10" s="65" t="s">
        <v>100</v>
      </c>
      <c r="K10" s="65"/>
      <c r="L10" s="65"/>
      <c r="M10" s="65"/>
      <c r="N10" s="65"/>
      <c r="O10" s="69">
        <v>45635</v>
      </c>
      <c r="P10" s="66">
        <v>45637.999305555553</v>
      </c>
      <c r="Q10" s="66">
        <v>45637.895833333336</v>
      </c>
      <c r="R10" s="66">
        <v>45637.916666666664</v>
      </c>
      <c r="S10" s="66">
        <v>45638.666666666664</v>
      </c>
      <c r="T10" s="66">
        <v>45638.583333333336</v>
      </c>
      <c r="U10" s="66">
        <v>45638.666666666664</v>
      </c>
      <c r="V10" s="67"/>
      <c r="W10" s="67">
        <f>(T10-Q10)*24</f>
        <v>16.5</v>
      </c>
      <c r="X10" s="67">
        <f t="shared" si="3"/>
        <v>18</v>
      </c>
      <c r="Y10" s="67">
        <f t="shared" si="1"/>
        <v>16.5</v>
      </c>
      <c r="Z10" s="67">
        <f t="shared" si="4"/>
        <v>-1.5</v>
      </c>
      <c r="AA10" s="67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3"/>
      <c r="AU10" s="93"/>
      <c r="AV10" s="93"/>
      <c r="AW10" s="90"/>
      <c r="AX10" s="96"/>
      <c r="AY10" s="90"/>
      <c r="AZ10" s="90"/>
      <c r="BA10" s="90"/>
    </row>
    <row r="11" spans="2:53" x14ac:dyDescent="0.3">
      <c r="B11" s="100"/>
      <c r="C11" s="99"/>
      <c r="D11" s="99"/>
      <c r="E11" s="65" t="s">
        <v>36</v>
      </c>
      <c r="F11" s="65">
        <v>200</v>
      </c>
      <c r="G11" s="65">
        <v>950</v>
      </c>
      <c r="H11" s="65"/>
      <c r="I11" s="65"/>
      <c r="J11" s="65" t="s">
        <v>100</v>
      </c>
      <c r="K11" s="65"/>
      <c r="L11" s="65"/>
      <c r="M11" s="65"/>
      <c r="N11" s="65"/>
      <c r="O11" s="69">
        <v>45636</v>
      </c>
      <c r="P11" s="66">
        <v>45638.875</v>
      </c>
      <c r="Q11" s="66">
        <v>45638.875</v>
      </c>
      <c r="R11" s="66">
        <v>45639.25</v>
      </c>
      <c r="S11" s="66">
        <v>45640.166666666664</v>
      </c>
      <c r="T11" s="66">
        <v>45640.25</v>
      </c>
      <c r="U11" s="66">
        <v>45640.229166666664</v>
      </c>
      <c r="V11" s="67"/>
      <c r="W11" s="67">
        <f>(T11-Q11)*24</f>
        <v>33</v>
      </c>
      <c r="X11" s="67">
        <f t="shared" si="3"/>
        <v>23.499999999941792</v>
      </c>
      <c r="Y11" s="67">
        <f t="shared" si="1"/>
        <v>33</v>
      </c>
      <c r="Z11" s="67">
        <f t="shared" si="4"/>
        <v>9.5000000000582077</v>
      </c>
      <c r="AA11" s="67" t="s">
        <v>100</v>
      </c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3"/>
      <c r="AU11" s="93"/>
      <c r="AV11" s="93"/>
      <c r="AW11" s="90"/>
      <c r="AX11" s="96"/>
      <c r="AY11" s="90"/>
      <c r="AZ11" s="90"/>
      <c r="BA11" s="90"/>
    </row>
    <row r="12" spans="2:53" ht="14.4" customHeight="1" x14ac:dyDescent="0.3">
      <c r="B12" s="100"/>
      <c r="C12" s="99"/>
      <c r="D12" s="99"/>
      <c r="E12" s="65" t="s">
        <v>103</v>
      </c>
      <c r="F12" s="65"/>
      <c r="G12" s="65"/>
      <c r="H12" s="65"/>
      <c r="I12" s="65"/>
      <c r="J12" s="65"/>
      <c r="K12" s="65" t="s">
        <v>100</v>
      </c>
      <c r="L12" s="65"/>
      <c r="M12" s="65"/>
      <c r="N12" s="69">
        <v>45635</v>
      </c>
      <c r="O12" s="69">
        <v>45638</v>
      </c>
      <c r="P12" s="66">
        <v>45640.833333333336</v>
      </c>
      <c r="Q12" s="66">
        <v>45640.520833333336</v>
      </c>
      <c r="R12" s="66"/>
      <c r="S12" s="66">
        <v>45641.999305555553</v>
      </c>
      <c r="T12" s="66">
        <v>45641.999305555553</v>
      </c>
      <c r="U12" s="66"/>
      <c r="V12" s="67"/>
      <c r="W12" s="67">
        <f>(T12-Q12)*24</f>
        <v>35.483333333220799</v>
      </c>
      <c r="X12" s="67"/>
      <c r="Y12" s="67">
        <f t="shared" si="1"/>
        <v>35.483333333220799</v>
      </c>
      <c r="Z12" s="67"/>
      <c r="AA12" s="67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3"/>
      <c r="AU12" s="93"/>
      <c r="AV12" s="93"/>
      <c r="AW12" s="90"/>
      <c r="AX12" s="96"/>
      <c r="AY12" s="90"/>
      <c r="AZ12" s="90"/>
      <c r="BA12" s="90"/>
    </row>
    <row r="13" spans="2:53" x14ac:dyDescent="0.3">
      <c r="B13" s="100"/>
      <c r="C13" s="99"/>
      <c r="D13" s="99"/>
      <c r="E13" s="70" t="s">
        <v>101</v>
      </c>
      <c r="F13" s="71"/>
      <c r="G13" s="71"/>
      <c r="H13" s="71"/>
      <c r="I13" s="71"/>
      <c r="J13" s="71"/>
      <c r="K13" s="71"/>
      <c r="L13" s="71">
        <v>2</v>
      </c>
      <c r="M13" s="71">
        <v>5</v>
      </c>
      <c r="N13" s="71"/>
      <c r="O13" s="71"/>
      <c r="P13" s="71"/>
      <c r="Q13" s="71"/>
      <c r="R13" s="71"/>
      <c r="S13" s="71"/>
      <c r="T13" s="71"/>
      <c r="U13" s="71"/>
      <c r="V13" s="73">
        <f>SUM(V8:V12)</f>
        <v>61.5</v>
      </c>
      <c r="W13" s="73">
        <f t="shared" ref="W13:Y13" si="5">SUM(W8:W12)</f>
        <v>145.98333333316259</v>
      </c>
      <c r="X13" s="73">
        <f t="shared" si="5"/>
        <v>102.99999999994179</v>
      </c>
      <c r="Y13" s="73">
        <f t="shared" si="5"/>
        <v>84.483333333162591</v>
      </c>
      <c r="Z13" s="73">
        <f>SUM(Z8:Z12)</f>
        <v>7.5</v>
      </c>
      <c r="AA13" s="74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4"/>
      <c r="AU13" s="94"/>
      <c r="AV13" s="94"/>
      <c r="AW13" s="91"/>
      <c r="AX13" s="97"/>
      <c r="AY13" s="91"/>
      <c r="AZ13" s="91"/>
      <c r="BA13" s="91"/>
    </row>
    <row r="14" spans="2:53" x14ac:dyDescent="0.3">
      <c r="B14" s="100"/>
      <c r="C14" s="99"/>
      <c r="D14" s="99" t="s">
        <v>20</v>
      </c>
      <c r="E14" s="65" t="s">
        <v>104</v>
      </c>
      <c r="F14" s="65">
        <v>174.4</v>
      </c>
      <c r="G14" s="65">
        <v>32000</v>
      </c>
      <c r="H14" s="65"/>
      <c r="I14" s="65" t="s">
        <v>100</v>
      </c>
      <c r="J14" s="65"/>
      <c r="K14" s="65"/>
      <c r="L14" s="65"/>
      <c r="M14" s="65"/>
      <c r="N14" s="65"/>
      <c r="O14" s="69">
        <v>45635</v>
      </c>
      <c r="P14" s="66">
        <v>45638.041666666664</v>
      </c>
      <c r="Q14" s="66">
        <v>45638.999305555553</v>
      </c>
      <c r="R14" s="66"/>
      <c r="S14" s="66">
        <v>45639.5</v>
      </c>
      <c r="T14" s="66">
        <v>45640.479166666664</v>
      </c>
      <c r="U14" s="66"/>
      <c r="V14" s="67"/>
      <c r="W14" s="67">
        <f>(T14-Q14)*24</f>
        <v>35.516666666662786</v>
      </c>
      <c r="X14" s="67"/>
      <c r="Y14" s="67">
        <f t="shared" si="1"/>
        <v>35.516666666662786</v>
      </c>
      <c r="Z14" s="67">
        <f t="shared" si="1"/>
        <v>-35.516666666662786</v>
      </c>
      <c r="AA14" s="67"/>
      <c r="AB14" s="89">
        <v>0</v>
      </c>
      <c r="AC14" s="89">
        <v>0</v>
      </c>
      <c r="AD14" s="89">
        <v>35.5</v>
      </c>
      <c r="AE14" s="89">
        <v>0</v>
      </c>
      <c r="AF14" s="89">
        <f>AD14-AC14</f>
        <v>35.5</v>
      </c>
      <c r="AG14" s="89">
        <v>0</v>
      </c>
      <c r="AH14" s="89">
        <v>192</v>
      </c>
      <c r="AI14" s="89">
        <v>0</v>
      </c>
      <c r="AJ14" s="89">
        <v>5</v>
      </c>
      <c r="AK14" s="89">
        <v>0</v>
      </c>
      <c r="AL14" s="89">
        <f>AJ14-AI14</f>
        <v>5</v>
      </c>
      <c r="AM14" s="89">
        <v>0</v>
      </c>
      <c r="AN14" s="89">
        <v>24</v>
      </c>
      <c r="AO14" s="89">
        <v>192</v>
      </c>
      <c r="AP14" s="89">
        <v>156.5</v>
      </c>
      <c r="AQ14" s="89">
        <v>192</v>
      </c>
      <c r="AR14" s="89">
        <f>AP14-AO14</f>
        <v>-35.5</v>
      </c>
      <c r="AS14" s="89">
        <f>AP14-AQ14</f>
        <v>-35.5</v>
      </c>
      <c r="AT14" s="92">
        <v>0</v>
      </c>
      <c r="AU14" s="92">
        <v>0.18489583333333334</v>
      </c>
      <c r="AV14" s="92">
        <v>0</v>
      </c>
      <c r="AW14" s="95">
        <f>AU14-AT14</f>
        <v>0.18489583333333334</v>
      </c>
      <c r="AX14" s="95">
        <f>AU14-AV14</f>
        <v>0.18489583333333334</v>
      </c>
      <c r="AY14" s="89">
        <v>0</v>
      </c>
      <c r="AZ14" s="89">
        <v>0</v>
      </c>
      <c r="BA14" s="89">
        <v>1</v>
      </c>
    </row>
    <row r="15" spans="2:53" x14ac:dyDescent="0.3">
      <c r="B15" s="100"/>
      <c r="C15" s="99"/>
      <c r="D15" s="99"/>
      <c r="E15" s="70" t="s">
        <v>101</v>
      </c>
      <c r="F15" s="71"/>
      <c r="G15" s="71"/>
      <c r="H15" s="71"/>
      <c r="I15" s="71"/>
      <c r="J15" s="71"/>
      <c r="K15" s="71"/>
      <c r="L15" s="71">
        <v>0</v>
      </c>
      <c r="M15" s="71">
        <v>1</v>
      </c>
      <c r="N15" s="71"/>
      <c r="O15" s="71"/>
      <c r="P15" s="71"/>
      <c r="Q15" s="71"/>
      <c r="R15" s="71"/>
      <c r="S15" s="71"/>
      <c r="T15" s="71"/>
      <c r="U15" s="71"/>
      <c r="V15" s="73">
        <f>V14</f>
        <v>0</v>
      </c>
      <c r="W15" s="73">
        <f t="shared" ref="W15:Z15" si="6">W14</f>
        <v>35.516666666662786</v>
      </c>
      <c r="X15" s="73"/>
      <c r="Y15" s="73">
        <f t="shared" si="6"/>
        <v>35.516666666662786</v>
      </c>
      <c r="Z15" s="73">
        <f t="shared" si="6"/>
        <v>-35.516666666662786</v>
      </c>
      <c r="AA15" s="74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4"/>
      <c r="AU15" s="94"/>
      <c r="AV15" s="94"/>
      <c r="AW15" s="91"/>
      <c r="AX15" s="97"/>
      <c r="AY15" s="91"/>
      <c r="AZ15" s="91"/>
      <c r="BA15" s="91"/>
    </row>
    <row r="16" spans="2:53" x14ac:dyDescent="0.3">
      <c r="B16" s="100"/>
      <c r="C16" s="99"/>
      <c r="D16" s="64"/>
      <c r="E16" s="75" t="s">
        <v>105</v>
      </c>
      <c r="F16" s="76"/>
      <c r="G16" s="76"/>
      <c r="H16" s="76"/>
      <c r="I16" s="76"/>
      <c r="J16" s="76"/>
      <c r="K16" s="76"/>
      <c r="L16" s="76">
        <v>4</v>
      </c>
      <c r="M16" s="76">
        <v>10</v>
      </c>
      <c r="N16" s="76"/>
      <c r="O16" s="76"/>
      <c r="P16" s="76"/>
      <c r="Q16" s="76"/>
      <c r="R16" s="76"/>
      <c r="S16" s="76"/>
      <c r="T16" s="76"/>
      <c r="U16" s="76"/>
      <c r="V16" s="77">
        <f>V7+V13+V15</f>
        <v>161.49999999994179</v>
      </c>
      <c r="W16" s="77">
        <f t="shared" ref="W16:Y16" si="7">W7+W13+W15</f>
        <v>346.9666666664416</v>
      </c>
      <c r="X16" s="77">
        <f t="shared" si="7"/>
        <v>273.0833333330811</v>
      </c>
      <c r="Y16" s="77">
        <f t="shared" si="7"/>
        <v>185.4666666664998</v>
      </c>
      <c r="Z16" s="77">
        <f>Z7+Z13+Z15</f>
        <v>-32.633333333185874</v>
      </c>
      <c r="AA16" s="78"/>
      <c r="AB16" s="79">
        <f>SUM(AB3:AB15)</f>
        <v>1</v>
      </c>
      <c r="AC16" s="79">
        <f t="shared" ref="AC16:BA16" si="8">SUM(AC3:AC15)</f>
        <v>161.5</v>
      </c>
      <c r="AD16" s="79">
        <f t="shared" si="8"/>
        <v>347</v>
      </c>
      <c r="AE16" s="79">
        <f t="shared" si="8"/>
        <v>280.5</v>
      </c>
      <c r="AF16" s="79">
        <f t="shared" si="8"/>
        <v>185.5</v>
      </c>
      <c r="AG16" s="79">
        <f>SUM(AG3:AG15)</f>
        <v>31</v>
      </c>
      <c r="AH16" s="79">
        <f t="shared" si="8"/>
        <v>576</v>
      </c>
      <c r="AI16" s="79">
        <f t="shared" si="8"/>
        <v>21</v>
      </c>
      <c r="AJ16" s="79">
        <f t="shared" si="8"/>
        <v>45</v>
      </c>
      <c r="AK16" s="79">
        <f>SUM(AK3:AK15)</f>
        <v>36</v>
      </c>
      <c r="AL16" s="79">
        <f t="shared" si="8"/>
        <v>24</v>
      </c>
      <c r="AM16" s="79">
        <f t="shared" si="8"/>
        <v>4</v>
      </c>
      <c r="AN16" s="79">
        <f t="shared" si="8"/>
        <v>72</v>
      </c>
      <c r="AO16" s="79">
        <f t="shared" si="8"/>
        <v>414.5</v>
      </c>
      <c r="AP16" s="79">
        <f t="shared" si="8"/>
        <v>229</v>
      </c>
      <c r="AQ16" s="79">
        <f t="shared" si="8"/>
        <v>295.5</v>
      </c>
      <c r="AR16" s="79">
        <f t="shared" si="8"/>
        <v>-185.5</v>
      </c>
      <c r="AS16" s="79">
        <f>SUM(AS3:AS15)</f>
        <v>-66.5</v>
      </c>
      <c r="AT16" s="80">
        <f>AC16/$AH$16</f>
        <v>0.28038194444444442</v>
      </c>
      <c r="AU16" s="80">
        <f>AD16/$AH$16</f>
        <v>0.60243055555555558</v>
      </c>
      <c r="AV16" s="80">
        <f>AE16/$AH$16</f>
        <v>0.48697916666666669</v>
      </c>
      <c r="AW16" s="80">
        <f>AU16-AT16</f>
        <v>0.32204861111111116</v>
      </c>
      <c r="AX16" s="80">
        <f>AU16-AV16</f>
        <v>0.1154513888888889</v>
      </c>
      <c r="AY16" s="79">
        <f t="shared" si="8"/>
        <v>0</v>
      </c>
      <c r="AZ16" s="79">
        <f t="shared" si="8"/>
        <v>5</v>
      </c>
      <c r="BA16" s="79">
        <f t="shared" si="8"/>
        <v>1</v>
      </c>
    </row>
    <row r="17" spans="2:53" x14ac:dyDescent="0.3">
      <c r="B17" s="100"/>
      <c r="C17" s="99" t="s">
        <v>106</v>
      </c>
      <c r="D17" s="99" t="s">
        <v>23</v>
      </c>
      <c r="E17" s="65" t="s">
        <v>21</v>
      </c>
      <c r="F17" s="65">
        <v>272.02</v>
      </c>
      <c r="G17" s="65">
        <v>1000</v>
      </c>
      <c r="H17" s="65" t="s">
        <v>100</v>
      </c>
      <c r="I17" s="65"/>
      <c r="J17" s="65"/>
      <c r="K17" s="65"/>
      <c r="L17" s="65"/>
      <c r="M17" s="65"/>
      <c r="N17" s="65"/>
      <c r="O17" s="65"/>
      <c r="P17" s="66">
        <v>45634.384027777778</v>
      </c>
      <c r="Q17" s="66">
        <v>45634.384027777778</v>
      </c>
      <c r="R17" s="66">
        <v>45634.384027777778</v>
      </c>
      <c r="S17" s="66">
        <v>45635.5</v>
      </c>
      <c r="T17" s="66">
        <v>45635.239583333336</v>
      </c>
      <c r="U17" s="66">
        <v>45635.5</v>
      </c>
      <c r="V17" s="67">
        <f>(S17-P17)*24</f>
        <v>26.783333333325572</v>
      </c>
      <c r="W17" s="67">
        <f>(T17-Q17)*24</f>
        <v>20.53333333338378</v>
      </c>
      <c r="X17" s="67">
        <f>(U17-R17)*24</f>
        <v>26.783333333325572</v>
      </c>
      <c r="Y17" s="67">
        <f t="shared" si="1"/>
        <v>-6.2499999999417923</v>
      </c>
      <c r="Z17" s="67">
        <f t="shared" ref="Z17:Z19" si="9">W17-X17</f>
        <v>-6.2499999999417923</v>
      </c>
      <c r="AA17" s="67" t="s">
        <v>100</v>
      </c>
      <c r="AB17" s="89">
        <v>4</v>
      </c>
      <c r="AC17" s="89">
        <v>67</v>
      </c>
      <c r="AD17" s="89">
        <v>168</v>
      </c>
      <c r="AE17" s="89">
        <v>88</v>
      </c>
      <c r="AF17" s="89">
        <f>AD17-AC17</f>
        <v>101</v>
      </c>
      <c r="AG17" s="89">
        <f>AD17-AE17</f>
        <v>80</v>
      </c>
      <c r="AH17" s="89">
        <v>192</v>
      </c>
      <c r="AI17" s="89">
        <v>9</v>
      </c>
      <c r="AJ17" s="89">
        <v>21</v>
      </c>
      <c r="AK17" s="89">
        <v>11</v>
      </c>
      <c r="AL17" s="89">
        <f>AJ17-AI17</f>
        <v>12</v>
      </c>
      <c r="AM17" s="89">
        <f>AJ17-AK17</f>
        <v>10</v>
      </c>
      <c r="AN17" s="89">
        <v>24</v>
      </c>
      <c r="AO17" s="89">
        <v>125</v>
      </c>
      <c r="AP17" s="89">
        <v>24</v>
      </c>
      <c r="AQ17" s="89">
        <v>104</v>
      </c>
      <c r="AR17" s="89">
        <f>AP17-AO17</f>
        <v>-101</v>
      </c>
      <c r="AS17" s="89">
        <f>AP17-AQ17</f>
        <v>-80</v>
      </c>
      <c r="AT17" s="92">
        <v>0.34895833333333331</v>
      </c>
      <c r="AU17" s="92">
        <v>0.875</v>
      </c>
      <c r="AV17" s="92">
        <v>0.45833333333333331</v>
      </c>
      <c r="AW17" s="95">
        <f>AU17-AT17</f>
        <v>0.52604166666666674</v>
      </c>
      <c r="AX17" s="95">
        <f>AU17-AV17</f>
        <v>0.41666666666666669</v>
      </c>
      <c r="AY17" s="89">
        <v>1</v>
      </c>
      <c r="AZ17" s="89">
        <v>2</v>
      </c>
      <c r="BA17" s="89">
        <v>1</v>
      </c>
    </row>
    <row r="18" spans="2:53" x14ac:dyDescent="0.3">
      <c r="B18" s="100"/>
      <c r="C18" s="99"/>
      <c r="D18" s="99"/>
      <c r="E18" s="65" t="s">
        <v>22</v>
      </c>
      <c r="F18" s="65">
        <v>260.02999999999997</v>
      </c>
      <c r="G18" s="65">
        <v>1000</v>
      </c>
      <c r="H18" s="65" t="s">
        <v>107</v>
      </c>
      <c r="I18" s="65"/>
      <c r="J18" s="65"/>
      <c r="K18" s="65"/>
      <c r="L18" s="65"/>
      <c r="M18" s="65"/>
      <c r="N18" s="65"/>
      <c r="O18" s="69">
        <v>45635</v>
      </c>
      <c r="P18" s="66">
        <v>45635.28125</v>
      </c>
      <c r="Q18" s="66">
        <v>45635.28125</v>
      </c>
      <c r="R18" s="66">
        <v>45635.28125</v>
      </c>
      <c r="S18" s="66">
        <v>45637.166666666664</v>
      </c>
      <c r="T18" s="66">
        <v>45636.999305555553</v>
      </c>
      <c r="U18" s="66">
        <v>45637.166666666664</v>
      </c>
      <c r="V18" s="67">
        <f>(S18-P18)*24</f>
        <v>45.249999999941792</v>
      </c>
      <c r="W18" s="67">
        <f>(T18-Q18)*24</f>
        <v>41.233333333279006</v>
      </c>
      <c r="X18" s="67">
        <f t="shared" ref="X18:X19" si="10">(U18-R18)*24</f>
        <v>45.249999999941792</v>
      </c>
      <c r="Y18" s="67">
        <f t="shared" si="1"/>
        <v>-4.0166666666627862</v>
      </c>
      <c r="Z18" s="67">
        <f t="shared" si="9"/>
        <v>-4.0166666666627862</v>
      </c>
      <c r="AA18" s="67" t="s">
        <v>100</v>
      </c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3"/>
      <c r="AU18" s="93"/>
      <c r="AV18" s="93"/>
      <c r="AW18" s="90"/>
      <c r="AX18" s="96"/>
      <c r="AY18" s="90"/>
      <c r="AZ18" s="90"/>
      <c r="BA18" s="90"/>
    </row>
    <row r="19" spans="2:53" x14ac:dyDescent="0.3">
      <c r="B19" s="100"/>
      <c r="C19" s="99"/>
      <c r="D19" s="99"/>
      <c r="E19" s="65" t="s">
        <v>31</v>
      </c>
      <c r="F19" s="65">
        <v>230</v>
      </c>
      <c r="G19" s="65">
        <v>750</v>
      </c>
      <c r="H19" s="65"/>
      <c r="I19" s="65"/>
      <c r="J19" s="65" t="s">
        <v>100</v>
      </c>
      <c r="K19" s="65"/>
      <c r="L19" s="65"/>
      <c r="M19" s="65"/>
      <c r="N19" s="65"/>
      <c r="O19" s="69">
        <v>45635</v>
      </c>
      <c r="P19" s="66">
        <v>45637.291666666664</v>
      </c>
      <c r="Q19" s="66">
        <v>45637.291666666664</v>
      </c>
      <c r="R19" s="66">
        <v>45637.25</v>
      </c>
      <c r="S19" s="66">
        <v>45638.25</v>
      </c>
      <c r="T19" s="66">
        <v>45638.104166666664</v>
      </c>
      <c r="U19" s="66">
        <v>45638.138888888891</v>
      </c>
      <c r="V19" s="67"/>
      <c r="W19" s="67">
        <f>(T19-Q19)*24</f>
        <v>19.5</v>
      </c>
      <c r="X19" s="67">
        <f t="shared" si="10"/>
        <v>21.333333333372138</v>
      </c>
      <c r="Y19" s="67">
        <f t="shared" si="1"/>
        <v>19.5</v>
      </c>
      <c r="Z19" s="67">
        <f t="shared" si="9"/>
        <v>-1.8333333333721384</v>
      </c>
      <c r="AA19" s="67" t="s">
        <v>100</v>
      </c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3"/>
      <c r="AU19" s="93"/>
      <c r="AV19" s="93"/>
      <c r="AW19" s="90"/>
      <c r="AX19" s="96"/>
      <c r="AY19" s="90"/>
      <c r="AZ19" s="90"/>
      <c r="BA19" s="90"/>
    </row>
    <row r="20" spans="2:53" ht="14.4" customHeight="1" x14ac:dyDescent="0.3">
      <c r="B20" s="100"/>
      <c r="C20" s="99"/>
      <c r="D20" s="99"/>
      <c r="E20" s="65" t="s">
        <v>108</v>
      </c>
      <c r="F20" s="65"/>
      <c r="G20" s="65"/>
      <c r="H20" s="65"/>
      <c r="I20" s="65"/>
      <c r="J20" s="65"/>
      <c r="K20" s="65" t="s">
        <v>100</v>
      </c>
      <c r="L20" s="65"/>
      <c r="M20" s="65"/>
      <c r="N20" s="69">
        <v>45635</v>
      </c>
      <c r="O20" s="69">
        <v>45635</v>
      </c>
      <c r="P20" s="66">
        <v>45638.458333333336</v>
      </c>
      <c r="Q20" s="66">
        <v>45638.5</v>
      </c>
      <c r="R20" s="66"/>
      <c r="S20" s="66">
        <v>45639.958333333336</v>
      </c>
      <c r="T20" s="66">
        <v>45640.166666666664</v>
      </c>
      <c r="U20" s="66"/>
      <c r="V20" s="67"/>
      <c r="W20" s="67">
        <f>(T20-Q20)*24</f>
        <v>39.999999999941792</v>
      </c>
      <c r="X20" s="67"/>
      <c r="Y20" s="67">
        <f t="shared" si="1"/>
        <v>39.999999999941792</v>
      </c>
      <c r="Z20" s="67"/>
      <c r="AA20" s="67" t="s">
        <v>100</v>
      </c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3"/>
      <c r="AU20" s="93"/>
      <c r="AV20" s="93"/>
      <c r="AW20" s="90"/>
      <c r="AX20" s="96"/>
      <c r="AY20" s="90"/>
      <c r="AZ20" s="90"/>
      <c r="BA20" s="90"/>
    </row>
    <row r="21" spans="2:53" ht="14.4" customHeight="1" x14ac:dyDescent="0.3">
      <c r="B21" s="100"/>
      <c r="C21" s="99"/>
      <c r="D21" s="99"/>
      <c r="E21" s="65" t="s">
        <v>109</v>
      </c>
      <c r="F21" s="65">
        <v>179.95</v>
      </c>
      <c r="G21" s="65">
        <v>37000</v>
      </c>
      <c r="H21" s="65"/>
      <c r="I21" s="65" t="s">
        <v>100</v>
      </c>
      <c r="J21" s="65"/>
      <c r="K21" s="65"/>
      <c r="L21" s="65"/>
      <c r="M21" s="65"/>
      <c r="N21" s="65"/>
      <c r="O21" s="69">
        <v>45637</v>
      </c>
      <c r="P21" s="66">
        <v>45640.083333333336</v>
      </c>
      <c r="Q21" s="66">
        <v>45640.274305555555</v>
      </c>
      <c r="R21" s="66"/>
      <c r="S21" s="66">
        <v>45641.999305555553</v>
      </c>
      <c r="T21" s="66">
        <v>45641.999305555553</v>
      </c>
      <c r="U21" s="66"/>
      <c r="V21" s="67"/>
      <c r="W21" s="67">
        <f>(T21-Q21)*24</f>
        <v>41.399999999965075</v>
      </c>
      <c r="X21" s="67"/>
      <c r="Y21" s="67">
        <f t="shared" si="1"/>
        <v>41.399999999965075</v>
      </c>
      <c r="Z21" s="67"/>
      <c r="AA21" s="67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3"/>
      <c r="AU21" s="93"/>
      <c r="AV21" s="93"/>
      <c r="AW21" s="90"/>
      <c r="AX21" s="96"/>
      <c r="AY21" s="90"/>
      <c r="AZ21" s="90"/>
      <c r="BA21" s="90"/>
    </row>
    <row r="22" spans="2:53" x14ac:dyDescent="0.3">
      <c r="B22" s="100"/>
      <c r="C22" s="99"/>
      <c r="D22" s="99"/>
      <c r="E22" s="70" t="s">
        <v>101</v>
      </c>
      <c r="F22" s="71"/>
      <c r="G22" s="71"/>
      <c r="H22" s="71"/>
      <c r="I22" s="71"/>
      <c r="J22" s="71"/>
      <c r="K22" s="71"/>
      <c r="L22" s="71">
        <v>2</v>
      </c>
      <c r="M22" s="71">
        <v>5</v>
      </c>
      <c r="N22" s="71"/>
      <c r="O22" s="71"/>
      <c r="P22" s="71"/>
      <c r="Q22" s="71"/>
      <c r="R22" s="71"/>
      <c r="S22" s="71"/>
      <c r="T22" s="71"/>
      <c r="U22" s="71"/>
      <c r="V22" s="73">
        <f>SUM(V17:V21)</f>
        <v>72.033333333267365</v>
      </c>
      <c r="W22" s="73">
        <f t="shared" ref="W22:Z22" si="11">SUM(W17:W21)</f>
        <v>162.66666666656965</v>
      </c>
      <c r="X22" s="73">
        <f t="shared" si="11"/>
        <v>93.366666666639503</v>
      </c>
      <c r="Y22" s="73">
        <f t="shared" si="11"/>
        <v>90.633333333302289</v>
      </c>
      <c r="Z22" s="73">
        <f t="shared" si="11"/>
        <v>-12.099999999976717</v>
      </c>
      <c r="AA22" s="74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4"/>
      <c r="AU22" s="94"/>
      <c r="AV22" s="94"/>
      <c r="AW22" s="91"/>
      <c r="AX22" s="97"/>
      <c r="AY22" s="91"/>
      <c r="AZ22" s="91"/>
      <c r="BA22" s="91"/>
    </row>
    <row r="23" spans="2:53" x14ac:dyDescent="0.3">
      <c r="B23" s="100"/>
      <c r="C23" s="99"/>
      <c r="D23" s="99" t="s">
        <v>26</v>
      </c>
      <c r="E23" s="65" t="s">
        <v>24</v>
      </c>
      <c r="F23" s="65">
        <v>199.94</v>
      </c>
      <c r="G23" s="65">
        <v>1709</v>
      </c>
      <c r="H23" s="65" t="s">
        <v>102</v>
      </c>
      <c r="I23" s="65"/>
      <c r="J23" s="65"/>
      <c r="K23" s="65"/>
      <c r="L23" s="65"/>
      <c r="M23" s="65"/>
      <c r="N23" s="65"/>
      <c r="O23" s="65"/>
      <c r="P23" s="66">
        <v>45634.432638888888</v>
      </c>
      <c r="Q23" s="66">
        <v>45634.432638888888</v>
      </c>
      <c r="R23" s="66">
        <v>45634.432638888888</v>
      </c>
      <c r="S23" s="66">
        <v>45635.208333333336</v>
      </c>
      <c r="T23" s="66">
        <v>45635.208333333336</v>
      </c>
      <c r="U23" s="66">
        <v>45635.208333333336</v>
      </c>
      <c r="V23" s="67">
        <f>(S23-P23)*24</f>
        <v>18.616666666755918</v>
      </c>
      <c r="W23" s="67">
        <f>(T23-Q23)*24</f>
        <v>18.616666666755918</v>
      </c>
      <c r="X23" s="67">
        <f>(U23-R23)*24</f>
        <v>18.616666666755918</v>
      </c>
      <c r="Y23" s="67">
        <f t="shared" si="1"/>
        <v>0</v>
      </c>
      <c r="Z23" s="67">
        <f>W23-X23</f>
        <v>0</v>
      </c>
      <c r="AA23" s="67" t="s">
        <v>100</v>
      </c>
      <c r="AB23" s="89">
        <v>2</v>
      </c>
      <c r="AC23" s="89">
        <v>64.5</v>
      </c>
      <c r="AD23" s="89">
        <v>170.5</v>
      </c>
      <c r="AE23" s="89">
        <v>165</v>
      </c>
      <c r="AF23" s="89">
        <f>AD23-AC23</f>
        <v>106</v>
      </c>
      <c r="AG23" s="89">
        <f>AD23-AE23</f>
        <v>5.5</v>
      </c>
      <c r="AH23" s="89">
        <v>192</v>
      </c>
      <c r="AI23" s="89">
        <v>9</v>
      </c>
      <c r="AJ23" s="89">
        <v>22</v>
      </c>
      <c r="AK23" s="89">
        <v>21</v>
      </c>
      <c r="AL23" s="89">
        <f>AJ23-AI23</f>
        <v>13</v>
      </c>
      <c r="AM23" s="89">
        <f>AJ23-AK23</f>
        <v>1</v>
      </c>
      <c r="AN23" s="89">
        <v>24</v>
      </c>
      <c r="AO23" s="89">
        <v>127.5</v>
      </c>
      <c r="AP23" s="89">
        <v>21.5</v>
      </c>
      <c r="AQ23" s="89">
        <v>27</v>
      </c>
      <c r="AR23" s="89">
        <f>AP23-AO23</f>
        <v>-106</v>
      </c>
      <c r="AS23" s="89">
        <f>AP23-AQ23</f>
        <v>-5.5</v>
      </c>
      <c r="AT23" s="92">
        <v>0.3359375</v>
      </c>
      <c r="AU23" s="92">
        <v>0.88802083333333337</v>
      </c>
      <c r="AV23" s="92">
        <v>0.859375</v>
      </c>
      <c r="AW23" s="95">
        <f>AU23-AT23</f>
        <v>0.55208333333333337</v>
      </c>
      <c r="AX23" s="95">
        <f>AU23-AV23</f>
        <v>2.864583333333337E-2</v>
      </c>
      <c r="AY23" s="89">
        <v>1</v>
      </c>
      <c r="AZ23" s="89">
        <v>1</v>
      </c>
      <c r="BA23" s="89">
        <v>1</v>
      </c>
    </row>
    <row r="24" spans="2:53" x14ac:dyDescent="0.3">
      <c r="B24" s="100"/>
      <c r="C24" s="99"/>
      <c r="D24" s="99"/>
      <c r="E24" s="65" t="s">
        <v>25</v>
      </c>
      <c r="F24" s="65">
        <v>272.26</v>
      </c>
      <c r="G24" s="65">
        <v>1750</v>
      </c>
      <c r="H24" s="65" t="s">
        <v>107</v>
      </c>
      <c r="I24" s="65"/>
      <c r="J24" s="65"/>
      <c r="K24" s="65"/>
      <c r="L24" s="65"/>
      <c r="M24" s="65"/>
      <c r="N24" s="65"/>
      <c r="O24" s="69">
        <v>45635</v>
      </c>
      <c r="P24" s="66">
        <v>45635.583333333336</v>
      </c>
      <c r="Q24" s="66">
        <v>45635.583333333336</v>
      </c>
      <c r="R24" s="66">
        <v>45635.583333333336</v>
      </c>
      <c r="S24" s="66">
        <v>45637.166666666664</v>
      </c>
      <c r="T24" s="66">
        <v>45637.333333333336</v>
      </c>
      <c r="U24" s="66">
        <v>45637.166666666664</v>
      </c>
      <c r="V24" s="67">
        <f>(S24-P24)*24</f>
        <v>37.999999999883585</v>
      </c>
      <c r="W24" s="67">
        <f>(T24-Q24)*24</f>
        <v>42</v>
      </c>
      <c r="X24" s="67">
        <f t="shared" ref="X24:X26" si="12">(U24-R24)*24</f>
        <v>37.999999999883585</v>
      </c>
      <c r="Y24" s="67">
        <f t="shared" si="1"/>
        <v>4.0000000001164153</v>
      </c>
      <c r="Z24" s="67">
        <f t="shared" ref="Z24:Z26" si="13">W24-X24</f>
        <v>4.0000000001164153</v>
      </c>
      <c r="AA24" s="67" t="s">
        <v>100</v>
      </c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3"/>
      <c r="AU24" s="93"/>
      <c r="AV24" s="93"/>
      <c r="AW24" s="90"/>
      <c r="AX24" s="96"/>
      <c r="AY24" s="90"/>
      <c r="AZ24" s="90"/>
      <c r="BA24" s="90"/>
    </row>
    <row r="25" spans="2:53" x14ac:dyDescent="0.3">
      <c r="B25" s="100"/>
      <c r="C25" s="99"/>
      <c r="D25" s="99"/>
      <c r="E25" s="65" t="s">
        <v>32</v>
      </c>
      <c r="F25" s="65">
        <v>333.2</v>
      </c>
      <c r="G25" s="65">
        <v>3500</v>
      </c>
      <c r="H25" s="65"/>
      <c r="I25" s="65"/>
      <c r="J25" s="65" t="s">
        <v>100</v>
      </c>
      <c r="K25" s="65"/>
      <c r="L25" s="65"/>
      <c r="M25" s="65"/>
      <c r="N25" s="65"/>
      <c r="O25" s="69">
        <v>45635</v>
      </c>
      <c r="P25" s="66">
        <v>45637.25</v>
      </c>
      <c r="Q25" s="66">
        <v>45637.375</v>
      </c>
      <c r="R25" s="66">
        <v>45637.208333333336</v>
      </c>
      <c r="S25" s="66">
        <v>45639.999305555553</v>
      </c>
      <c r="T25" s="66">
        <v>45640.083333333336</v>
      </c>
      <c r="U25" s="66">
        <v>45639.604166666664</v>
      </c>
      <c r="V25" s="67"/>
      <c r="W25" s="67">
        <f>(T25-Q25)*24</f>
        <v>65.000000000058208</v>
      </c>
      <c r="X25" s="67">
        <f t="shared" si="12"/>
        <v>57.499999999883585</v>
      </c>
      <c r="Y25" s="67">
        <f t="shared" si="1"/>
        <v>65.000000000058208</v>
      </c>
      <c r="Z25" s="67">
        <f t="shared" si="13"/>
        <v>7.500000000174623</v>
      </c>
      <c r="AA25" s="67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3"/>
      <c r="AU25" s="93"/>
      <c r="AV25" s="93"/>
      <c r="AW25" s="90"/>
      <c r="AX25" s="96"/>
      <c r="AY25" s="90"/>
      <c r="AZ25" s="90"/>
      <c r="BA25" s="90"/>
    </row>
    <row r="26" spans="2:53" x14ac:dyDescent="0.3">
      <c r="B26" s="100"/>
      <c r="C26" s="99"/>
      <c r="D26" s="99"/>
      <c r="E26" s="65" t="s">
        <v>29</v>
      </c>
      <c r="F26" s="65">
        <v>199.98</v>
      </c>
      <c r="G26" s="65">
        <v>10800</v>
      </c>
      <c r="H26" s="65"/>
      <c r="I26" s="65" t="s">
        <v>100</v>
      </c>
      <c r="J26" s="65"/>
      <c r="K26" s="65"/>
      <c r="L26" s="65"/>
      <c r="M26" s="65"/>
      <c r="N26" s="65"/>
      <c r="O26" s="69">
        <v>45637</v>
      </c>
      <c r="P26" s="66">
        <v>45639.999305555553</v>
      </c>
      <c r="Q26" s="66">
        <v>45640.125</v>
      </c>
      <c r="R26" s="66">
        <v>45639.645833333336</v>
      </c>
      <c r="S26" s="66">
        <v>45641.999305555553</v>
      </c>
      <c r="T26" s="66">
        <v>45641.999305555553</v>
      </c>
      <c r="U26" s="66">
        <v>45641.4375</v>
      </c>
      <c r="V26" s="67"/>
      <c r="W26" s="67">
        <f>(T26-Q26)*24</f>
        <v>44.983333333279006</v>
      </c>
      <c r="X26" s="67">
        <f t="shared" si="12"/>
        <v>42.999999999941792</v>
      </c>
      <c r="Y26" s="67">
        <f t="shared" si="1"/>
        <v>44.983333333279006</v>
      </c>
      <c r="Z26" s="67">
        <f t="shared" si="13"/>
        <v>1.9833333333372138</v>
      </c>
      <c r="AA26" s="67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3"/>
      <c r="AU26" s="93"/>
      <c r="AV26" s="93"/>
      <c r="AW26" s="90"/>
      <c r="AX26" s="96"/>
      <c r="AY26" s="90"/>
      <c r="AZ26" s="90"/>
      <c r="BA26" s="90"/>
    </row>
    <row r="27" spans="2:53" x14ac:dyDescent="0.3">
      <c r="B27" s="100"/>
      <c r="C27" s="99"/>
      <c r="D27" s="99"/>
      <c r="E27" s="70" t="s">
        <v>101</v>
      </c>
      <c r="F27" s="71"/>
      <c r="G27" s="71"/>
      <c r="H27" s="71"/>
      <c r="I27" s="71"/>
      <c r="J27" s="71"/>
      <c r="K27" s="71"/>
      <c r="L27" s="71">
        <v>2</v>
      </c>
      <c r="M27" s="71">
        <v>4</v>
      </c>
      <c r="N27" s="71"/>
      <c r="O27" s="71"/>
      <c r="P27" s="71"/>
      <c r="Q27" s="71"/>
      <c r="R27" s="71"/>
      <c r="S27" s="71"/>
      <c r="T27" s="71"/>
      <c r="U27" s="71"/>
      <c r="V27" s="73">
        <f>SUM(V23:V26)</f>
        <v>56.616666666639503</v>
      </c>
      <c r="W27" s="73">
        <f t="shared" ref="W27:Z27" si="14">SUM(W23:W26)</f>
        <v>170.60000000009313</v>
      </c>
      <c r="X27" s="73">
        <f t="shared" si="14"/>
        <v>157.11666666646488</v>
      </c>
      <c r="Y27" s="73">
        <f t="shared" si="14"/>
        <v>113.98333333345363</v>
      </c>
      <c r="Z27" s="73">
        <f t="shared" si="14"/>
        <v>13.483333333628252</v>
      </c>
      <c r="AA27" s="74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4"/>
      <c r="AU27" s="94"/>
      <c r="AV27" s="94"/>
      <c r="AW27" s="91"/>
      <c r="AX27" s="97"/>
      <c r="AY27" s="91"/>
      <c r="AZ27" s="91"/>
      <c r="BA27" s="91"/>
    </row>
    <row r="28" spans="2:53" x14ac:dyDescent="0.3">
      <c r="B28" s="100"/>
      <c r="C28" s="99"/>
      <c r="D28" s="99" t="s">
        <v>28</v>
      </c>
      <c r="E28" s="65" t="s">
        <v>30</v>
      </c>
      <c r="F28" s="65">
        <v>232.29</v>
      </c>
      <c r="G28" s="65">
        <v>1800</v>
      </c>
      <c r="H28" s="65"/>
      <c r="I28" s="65"/>
      <c r="J28" s="65" t="s">
        <v>100</v>
      </c>
      <c r="K28" s="65"/>
      <c r="L28" s="65"/>
      <c r="M28" s="65"/>
      <c r="N28" s="65"/>
      <c r="O28" s="69">
        <v>45635</v>
      </c>
      <c r="P28" s="66">
        <v>45636.875</v>
      </c>
      <c r="Q28" s="66">
        <v>45636.875</v>
      </c>
      <c r="R28" s="66">
        <v>45636.875</v>
      </c>
      <c r="S28" s="66">
        <v>45639.25</v>
      </c>
      <c r="T28" s="66">
        <v>45638.25</v>
      </c>
      <c r="U28" s="66">
        <v>45638.6875</v>
      </c>
      <c r="V28" s="67"/>
      <c r="W28" s="67">
        <f>(T28-Q28)*24</f>
        <v>33</v>
      </c>
      <c r="X28" s="67">
        <f>(U28-R28)*24</f>
        <v>43.5</v>
      </c>
      <c r="Y28" s="67">
        <f t="shared" si="1"/>
        <v>33</v>
      </c>
      <c r="Z28" s="67">
        <f>W28-X28</f>
        <v>-10.5</v>
      </c>
      <c r="AA28" s="67"/>
      <c r="AB28" s="89">
        <v>0</v>
      </c>
      <c r="AC28" s="89">
        <v>0</v>
      </c>
      <c r="AD28" s="89">
        <v>93.5</v>
      </c>
      <c r="AE28" s="89">
        <v>109.5</v>
      </c>
      <c r="AF28" s="89">
        <f>AD28-AC28</f>
        <v>93.5</v>
      </c>
      <c r="AG28" s="89">
        <f>AD28-AE28</f>
        <v>-16</v>
      </c>
      <c r="AH28" s="89">
        <v>124</v>
      </c>
      <c r="AI28" s="89">
        <v>0</v>
      </c>
      <c r="AJ28" s="89">
        <v>12</v>
      </c>
      <c r="AK28" s="89">
        <v>14</v>
      </c>
      <c r="AL28" s="89">
        <f>AJ28-AI28</f>
        <v>12</v>
      </c>
      <c r="AM28" s="89">
        <f>AJ28-AK28</f>
        <v>-2</v>
      </c>
      <c r="AN28" s="89">
        <v>13</v>
      </c>
      <c r="AO28" s="89">
        <v>100</v>
      </c>
      <c r="AP28" s="89">
        <v>6.5</v>
      </c>
      <c r="AQ28" s="89">
        <v>14.5</v>
      </c>
      <c r="AR28" s="89">
        <f>AP28-AO28</f>
        <v>-93.5</v>
      </c>
      <c r="AS28" s="89">
        <f>AP28-AQ28</f>
        <v>-8</v>
      </c>
      <c r="AT28" s="92">
        <v>0</v>
      </c>
      <c r="AU28" s="92">
        <v>0.93500000000000005</v>
      </c>
      <c r="AV28" s="92">
        <v>0.88306451612903225</v>
      </c>
      <c r="AW28" s="95">
        <f>AU28-AT28</f>
        <v>0.93500000000000005</v>
      </c>
      <c r="AX28" s="95">
        <f>AU28-AV28</f>
        <v>5.1935483870967802E-2</v>
      </c>
      <c r="AY28" s="89">
        <v>0</v>
      </c>
      <c r="AZ28" s="89">
        <v>4</v>
      </c>
      <c r="BA28" s="89">
        <v>0</v>
      </c>
    </row>
    <row r="29" spans="2:53" x14ac:dyDescent="0.3">
      <c r="B29" s="100"/>
      <c r="C29" s="99"/>
      <c r="D29" s="99"/>
      <c r="E29" s="65" t="s">
        <v>33</v>
      </c>
      <c r="F29" s="65">
        <v>199.99</v>
      </c>
      <c r="G29" s="65">
        <v>2459</v>
      </c>
      <c r="H29" s="65"/>
      <c r="I29" s="65"/>
      <c r="J29" s="65" t="s">
        <v>100</v>
      </c>
      <c r="K29" s="65"/>
      <c r="L29" s="65"/>
      <c r="M29" s="65"/>
      <c r="N29" s="65"/>
      <c r="O29" s="69">
        <v>45637</v>
      </c>
      <c r="P29" s="66">
        <v>45639.25</v>
      </c>
      <c r="Q29" s="66">
        <v>45639.375</v>
      </c>
      <c r="R29" s="66">
        <v>45638.729166666664</v>
      </c>
      <c r="S29" s="66">
        <v>45640.25</v>
      </c>
      <c r="T29" s="66">
        <v>45640.5625</v>
      </c>
      <c r="U29" s="66">
        <v>45640.055555555555</v>
      </c>
      <c r="V29" s="67"/>
      <c r="W29" s="67">
        <f>(T29-Q29)*24</f>
        <v>28.5</v>
      </c>
      <c r="X29" s="67">
        <f t="shared" ref="X29:X30" si="15">(U29-R29)*24</f>
        <v>31.833333333372138</v>
      </c>
      <c r="Y29" s="67">
        <f t="shared" si="1"/>
        <v>28.5</v>
      </c>
      <c r="Z29" s="67">
        <f>W29-X29</f>
        <v>-3.3333333333721384</v>
      </c>
      <c r="AA29" s="67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3"/>
      <c r="AU29" s="93"/>
      <c r="AV29" s="93"/>
      <c r="AW29" s="90"/>
      <c r="AX29" s="96"/>
      <c r="AY29" s="90"/>
      <c r="AZ29" s="90"/>
      <c r="BA29" s="90"/>
    </row>
    <row r="30" spans="2:53" x14ac:dyDescent="0.3">
      <c r="B30" s="100"/>
      <c r="C30" s="99"/>
      <c r="D30" s="99"/>
      <c r="E30" s="65" t="s">
        <v>37</v>
      </c>
      <c r="F30" s="65">
        <v>232.38</v>
      </c>
      <c r="G30" s="65">
        <v>2000</v>
      </c>
      <c r="H30" s="65"/>
      <c r="I30" s="65"/>
      <c r="J30" s="65" t="s">
        <v>100</v>
      </c>
      <c r="K30" s="65"/>
      <c r="L30" s="65"/>
      <c r="M30" s="65"/>
      <c r="N30" s="65"/>
      <c r="O30" s="69">
        <v>45638</v>
      </c>
      <c r="P30" s="66">
        <v>45640.875</v>
      </c>
      <c r="Q30" s="66">
        <v>45640.875</v>
      </c>
      <c r="R30" s="66">
        <v>45640.520833333336</v>
      </c>
      <c r="S30" s="66">
        <v>45641.541666666664</v>
      </c>
      <c r="T30" s="66">
        <v>45641.541666666664</v>
      </c>
      <c r="U30" s="66">
        <v>45641.791666666664</v>
      </c>
      <c r="V30" s="67"/>
      <c r="W30" s="67">
        <f>(T30-Q30)*24</f>
        <v>15.999999999941792</v>
      </c>
      <c r="X30" s="67">
        <f t="shared" si="15"/>
        <v>30.499999999883585</v>
      </c>
      <c r="Y30" s="67">
        <f t="shared" si="1"/>
        <v>15.999999999941792</v>
      </c>
      <c r="Z30" s="67">
        <f t="shared" ref="Z30:Z31" si="16">W30-X30</f>
        <v>-14.499999999941792</v>
      </c>
      <c r="AA30" s="67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3"/>
      <c r="AU30" s="93"/>
      <c r="AV30" s="93"/>
      <c r="AW30" s="90"/>
      <c r="AX30" s="96"/>
      <c r="AY30" s="90"/>
      <c r="AZ30" s="90"/>
      <c r="BA30" s="90"/>
    </row>
    <row r="31" spans="2:53" x14ac:dyDescent="0.3">
      <c r="B31" s="100"/>
      <c r="C31" s="99"/>
      <c r="D31" s="99"/>
      <c r="E31" s="65" t="s">
        <v>35</v>
      </c>
      <c r="F31" s="65">
        <v>199.1</v>
      </c>
      <c r="G31" s="65">
        <v>1800</v>
      </c>
      <c r="H31" s="65"/>
      <c r="I31" s="65"/>
      <c r="J31" s="65" t="s">
        <v>100</v>
      </c>
      <c r="K31" s="65"/>
      <c r="L31" s="65"/>
      <c r="M31" s="65"/>
      <c r="N31" s="65"/>
      <c r="O31" s="69">
        <v>45639</v>
      </c>
      <c r="P31" s="66">
        <v>45641.875</v>
      </c>
      <c r="Q31" s="66">
        <v>45641.875</v>
      </c>
      <c r="R31" s="66">
        <v>45641.833333333336</v>
      </c>
      <c r="S31" s="66">
        <v>45641.999305555553</v>
      </c>
      <c r="T31" s="66">
        <v>45641.999305555553</v>
      </c>
      <c r="U31" s="66">
        <v>45641.999305555553</v>
      </c>
      <c r="V31" s="67"/>
      <c r="W31" s="67">
        <f>(T31-Q31)*24</f>
        <v>2.9833333332790062</v>
      </c>
      <c r="X31" s="67">
        <f>(U31-R31)*24</f>
        <v>3.9833333332207985</v>
      </c>
      <c r="Y31" s="67">
        <f t="shared" si="1"/>
        <v>2.9833333332790062</v>
      </c>
      <c r="Z31" s="67">
        <f t="shared" si="16"/>
        <v>-0.99999999994179234</v>
      </c>
      <c r="AA31" s="67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3"/>
      <c r="AU31" s="93"/>
      <c r="AV31" s="93"/>
      <c r="AW31" s="90"/>
      <c r="AX31" s="96"/>
      <c r="AY31" s="90"/>
      <c r="AZ31" s="90"/>
      <c r="BA31" s="90"/>
    </row>
    <row r="32" spans="2:53" x14ac:dyDescent="0.3">
      <c r="B32" s="100"/>
      <c r="C32" s="99"/>
      <c r="D32" s="99"/>
      <c r="E32" s="70" t="s">
        <v>101</v>
      </c>
      <c r="F32" s="71"/>
      <c r="G32" s="71"/>
      <c r="H32" s="71"/>
      <c r="I32" s="71"/>
      <c r="J32" s="71"/>
      <c r="K32" s="71"/>
      <c r="L32" s="71">
        <v>0</v>
      </c>
      <c r="M32" s="71">
        <v>4</v>
      </c>
      <c r="N32" s="71"/>
      <c r="O32" s="71"/>
      <c r="P32" s="71"/>
      <c r="Q32" s="71"/>
      <c r="R32" s="71"/>
      <c r="S32" s="71"/>
      <c r="T32" s="71"/>
      <c r="U32" s="71"/>
      <c r="V32" s="73">
        <f>SUM(V28:V31)</f>
        <v>0</v>
      </c>
      <c r="W32" s="73">
        <f t="shared" ref="W32:Z32" si="17">SUM(W28:W31)</f>
        <v>80.483333333220799</v>
      </c>
      <c r="X32" s="73">
        <f t="shared" si="17"/>
        <v>109.81666666647652</v>
      </c>
      <c r="Y32" s="73">
        <f t="shared" si="17"/>
        <v>80.483333333220799</v>
      </c>
      <c r="Z32" s="73">
        <f t="shared" si="17"/>
        <v>-29.333333333255723</v>
      </c>
      <c r="AA32" s="7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4"/>
      <c r="AU32" s="94"/>
      <c r="AV32" s="94"/>
      <c r="AW32" s="91"/>
      <c r="AX32" s="97"/>
      <c r="AY32" s="91"/>
      <c r="AZ32" s="91"/>
      <c r="BA32" s="91"/>
    </row>
    <row r="33" spans="2:53" x14ac:dyDescent="0.3">
      <c r="B33" s="100"/>
      <c r="C33" s="99"/>
      <c r="D33" s="64"/>
      <c r="E33" s="75" t="s">
        <v>110</v>
      </c>
      <c r="F33" s="76"/>
      <c r="G33" s="76"/>
      <c r="H33" s="76"/>
      <c r="I33" s="76"/>
      <c r="J33" s="76"/>
      <c r="K33" s="76"/>
      <c r="L33" s="76">
        <v>4</v>
      </c>
      <c r="M33" s="76">
        <v>13</v>
      </c>
      <c r="N33" s="76"/>
      <c r="O33" s="76"/>
      <c r="P33" s="76"/>
      <c r="Q33" s="76"/>
      <c r="R33" s="76"/>
      <c r="S33" s="76"/>
      <c r="T33" s="76"/>
      <c r="U33" s="76"/>
      <c r="V33" s="77">
        <f>V22+V27+V32</f>
        <v>128.64999999990687</v>
      </c>
      <c r="W33" s="77">
        <f t="shared" ref="W33:Z33" si="18">W22+W27+W32</f>
        <v>413.74999999988358</v>
      </c>
      <c r="X33" s="77">
        <f t="shared" si="18"/>
        <v>360.2999999995809</v>
      </c>
      <c r="Y33" s="77">
        <f t="shared" si="18"/>
        <v>285.09999999997672</v>
      </c>
      <c r="Z33" s="77">
        <f t="shared" si="18"/>
        <v>-27.949999999604188</v>
      </c>
      <c r="AA33" s="76"/>
      <c r="AB33" s="79">
        <f>SUM(AB17:AB32)</f>
        <v>6</v>
      </c>
      <c r="AC33" s="79">
        <f t="shared" ref="AC33:BA33" si="19">SUM(AC17:AC32)</f>
        <v>131.5</v>
      </c>
      <c r="AD33" s="79">
        <f t="shared" si="19"/>
        <v>432</v>
      </c>
      <c r="AE33" s="79">
        <f t="shared" si="19"/>
        <v>362.5</v>
      </c>
      <c r="AF33" s="79">
        <f t="shared" si="19"/>
        <v>300.5</v>
      </c>
      <c r="AG33" s="79">
        <f t="shared" si="19"/>
        <v>69.5</v>
      </c>
      <c r="AH33" s="79">
        <f>SUM(AH17:AH32)</f>
        <v>508</v>
      </c>
      <c r="AI33" s="79">
        <f t="shared" si="19"/>
        <v>18</v>
      </c>
      <c r="AJ33" s="79">
        <f t="shared" si="19"/>
        <v>55</v>
      </c>
      <c r="AK33" s="79">
        <f t="shared" si="19"/>
        <v>46</v>
      </c>
      <c r="AL33" s="79">
        <f t="shared" si="19"/>
        <v>37</v>
      </c>
      <c r="AM33" s="79">
        <f>SUM(AM17:AM32)</f>
        <v>9</v>
      </c>
      <c r="AN33" s="79">
        <f t="shared" si="19"/>
        <v>61</v>
      </c>
      <c r="AO33" s="79">
        <f t="shared" si="19"/>
        <v>352.5</v>
      </c>
      <c r="AP33" s="79">
        <f t="shared" si="19"/>
        <v>52</v>
      </c>
      <c r="AQ33" s="79">
        <f t="shared" si="19"/>
        <v>145.5</v>
      </c>
      <c r="AR33" s="79">
        <f t="shared" si="19"/>
        <v>-300.5</v>
      </c>
      <c r="AS33" s="79">
        <f t="shared" si="19"/>
        <v>-93.5</v>
      </c>
      <c r="AT33" s="80">
        <f>AC33/AH33</f>
        <v>0.25885826771653542</v>
      </c>
      <c r="AU33" s="80">
        <f>AD33/AH33</f>
        <v>0.85039370078740162</v>
      </c>
      <c r="AV33" s="80">
        <f>AE33/AH33</f>
        <v>0.71358267716535428</v>
      </c>
      <c r="AW33" s="81">
        <f>AU33-AT33</f>
        <v>0.5915354330708662</v>
      </c>
      <c r="AX33" s="81">
        <f>AU33-AV33</f>
        <v>0.13681102362204733</v>
      </c>
      <c r="AY33" s="79">
        <f t="shared" si="19"/>
        <v>2</v>
      </c>
      <c r="AZ33" s="79">
        <f t="shared" si="19"/>
        <v>7</v>
      </c>
      <c r="BA33" s="79">
        <f t="shared" si="19"/>
        <v>2</v>
      </c>
    </row>
    <row r="34" spans="2:53" ht="28.8" x14ac:dyDescent="0.3">
      <c r="B34" s="100"/>
      <c r="C34" s="99"/>
      <c r="D34" s="64"/>
      <c r="E34" s="82" t="s">
        <v>111</v>
      </c>
      <c r="F34" s="83"/>
      <c r="G34" s="83"/>
      <c r="H34" s="83"/>
      <c r="I34" s="83"/>
      <c r="J34" s="83"/>
      <c r="K34" s="83"/>
      <c r="L34" s="83">
        <f>L33+L16</f>
        <v>8</v>
      </c>
      <c r="M34" s="83">
        <f>M33+M16</f>
        <v>23</v>
      </c>
      <c r="N34" s="83"/>
      <c r="O34" s="83"/>
      <c r="P34" s="83"/>
      <c r="Q34" s="83"/>
      <c r="R34" s="83"/>
      <c r="S34" s="83"/>
      <c r="T34" s="83"/>
      <c r="U34" s="83"/>
      <c r="V34" s="84">
        <f>V16+V33</f>
        <v>290.14999999984866</v>
      </c>
      <c r="W34" s="84">
        <f t="shared" ref="W34:Y34" si="20">W16+W33</f>
        <v>760.71666666632518</v>
      </c>
      <c r="X34" s="84">
        <f t="shared" si="20"/>
        <v>633.383333332662</v>
      </c>
      <c r="Y34" s="84">
        <f t="shared" si="20"/>
        <v>470.56666666647652</v>
      </c>
      <c r="Z34" s="84">
        <f>Z16+Z33</f>
        <v>-60.583333332790062</v>
      </c>
      <c r="AA34" s="83"/>
      <c r="AB34" s="85">
        <f>AB16+AB33</f>
        <v>7</v>
      </c>
      <c r="AC34" s="85">
        <f t="shared" ref="AC34:BA34" si="21">AC16+AC33</f>
        <v>293</v>
      </c>
      <c r="AD34" s="85">
        <f t="shared" si="21"/>
        <v>779</v>
      </c>
      <c r="AE34" s="85">
        <f t="shared" si="21"/>
        <v>643</v>
      </c>
      <c r="AF34" s="85">
        <f t="shared" si="21"/>
        <v>486</v>
      </c>
      <c r="AG34" s="85">
        <f t="shared" si="21"/>
        <v>100.5</v>
      </c>
      <c r="AH34" s="85">
        <f t="shared" si="21"/>
        <v>1084</v>
      </c>
      <c r="AI34" s="85">
        <f t="shared" si="21"/>
        <v>39</v>
      </c>
      <c r="AJ34" s="85">
        <f t="shared" si="21"/>
        <v>100</v>
      </c>
      <c r="AK34" s="85">
        <f t="shared" si="21"/>
        <v>82</v>
      </c>
      <c r="AL34" s="85">
        <f t="shared" si="21"/>
        <v>61</v>
      </c>
      <c r="AM34" s="85">
        <f t="shared" si="21"/>
        <v>13</v>
      </c>
      <c r="AN34" s="85">
        <f t="shared" si="21"/>
        <v>133</v>
      </c>
      <c r="AO34" s="85">
        <f t="shared" si="21"/>
        <v>767</v>
      </c>
      <c r="AP34" s="85">
        <f t="shared" si="21"/>
        <v>281</v>
      </c>
      <c r="AQ34" s="85">
        <f t="shared" si="21"/>
        <v>441</v>
      </c>
      <c r="AR34" s="85">
        <f t="shared" si="21"/>
        <v>-486</v>
      </c>
      <c r="AS34" s="85">
        <f t="shared" si="21"/>
        <v>-160</v>
      </c>
      <c r="AT34" s="86">
        <f>AC34/AH34</f>
        <v>0.27029520295202952</v>
      </c>
      <c r="AU34" s="86">
        <f>AD34/AH34</f>
        <v>0.71863468634686345</v>
      </c>
      <c r="AV34" s="86">
        <f>AE34/AH34</f>
        <v>0.59317343173431736</v>
      </c>
      <c r="AW34" s="86">
        <f>AU34-AT34</f>
        <v>0.44833948339483393</v>
      </c>
      <c r="AX34" s="86">
        <f>AU34-AV34</f>
        <v>0.12546125461254609</v>
      </c>
      <c r="AY34" s="85">
        <f t="shared" si="21"/>
        <v>2</v>
      </c>
      <c r="AZ34" s="85">
        <f t="shared" si="21"/>
        <v>12</v>
      </c>
      <c r="BA34" s="85">
        <f t="shared" si="21"/>
        <v>3</v>
      </c>
    </row>
  </sheetData>
  <mergeCells count="165">
    <mergeCell ref="AZ28:AZ32"/>
    <mergeCell ref="AO28:AO32"/>
    <mergeCell ref="AP28:AP32"/>
    <mergeCell ref="AQ28:AQ32"/>
    <mergeCell ref="AR28:AR32"/>
    <mergeCell ref="AS28:AS32"/>
    <mergeCell ref="AT28:AT32"/>
    <mergeCell ref="AZ23:AZ27"/>
    <mergeCell ref="BA23:BA27"/>
    <mergeCell ref="D28:D32"/>
    <mergeCell ref="AB28:AB32"/>
    <mergeCell ref="AC28:AC32"/>
    <mergeCell ref="AD28:AD32"/>
    <mergeCell ref="AE28:AE32"/>
    <mergeCell ref="AF28:AF32"/>
    <mergeCell ref="AG28:AG32"/>
    <mergeCell ref="AH28:AH32"/>
    <mergeCell ref="AT23:AT27"/>
    <mergeCell ref="AU23:AU27"/>
    <mergeCell ref="AV23:AV27"/>
    <mergeCell ref="AW23:AW27"/>
    <mergeCell ref="AX23:AX27"/>
    <mergeCell ref="AY23:AY27"/>
    <mergeCell ref="AN23:AN27"/>
    <mergeCell ref="AO23:AO27"/>
    <mergeCell ref="BA28:BA32"/>
    <mergeCell ref="AU28:AU32"/>
    <mergeCell ref="AV28:AV32"/>
    <mergeCell ref="AW28:AW32"/>
    <mergeCell ref="AX28:AX32"/>
    <mergeCell ref="AY28:AY32"/>
    <mergeCell ref="AR23:AR27"/>
    <mergeCell ref="AS23:AS27"/>
    <mergeCell ref="AH23:AH27"/>
    <mergeCell ref="AI23:AI27"/>
    <mergeCell ref="AJ23:AJ27"/>
    <mergeCell ref="AK23:AK27"/>
    <mergeCell ref="AL23:AL27"/>
    <mergeCell ref="AM23:AM27"/>
    <mergeCell ref="AI28:AI32"/>
    <mergeCell ref="AJ28:AJ32"/>
    <mergeCell ref="AK28:AK32"/>
    <mergeCell ref="AL28:AL32"/>
    <mergeCell ref="AM28:AM32"/>
    <mergeCell ref="AN28:AN32"/>
    <mergeCell ref="BA17:BA22"/>
    <mergeCell ref="D23:D27"/>
    <mergeCell ref="AB23:AB27"/>
    <mergeCell ref="AC23:AC27"/>
    <mergeCell ref="AD23:AD27"/>
    <mergeCell ref="AE23:AE27"/>
    <mergeCell ref="AF23:AF27"/>
    <mergeCell ref="AG23:AG27"/>
    <mergeCell ref="AS17:AS22"/>
    <mergeCell ref="AT17:AT22"/>
    <mergeCell ref="AU17:AU22"/>
    <mergeCell ref="AV17:AV22"/>
    <mergeCell ref="AW17:AW22"/>
    <mergeCell ref="AX17:AX22"/>
    <mergeCell ref="AM17:AM22"/>
    <mergeCell ref="AN17:AN22"/>
    <mergeCell ref="AO17:AO22"/>
    <mergeCell ref="AP17:AP22"/>
    <mergeCell ref="AQ17:AQ22"/>
    <mergeCell ref="AR17:AR22"/>
    <mergeCell ref="AG17:AG22"/>
    <mergeCell ref="AH17:AH22"/>
    <mergeCell ref="AP23:AP27"/>
    <mergeCell ref="AQ23:AQ27"/>
    <mergeCell ref="AK17:AK22"/>
    <mergeCell ref="AL17:AL22"/>
    <mergeCell ref="AY14:AY15"/>
    <mergeCell ref="AZ14:AZ15"/>
    <mergeCell ref="BA14:BA15"/>
    <mergeCell ref="C17:C34"/>
    <mergeCell ref="D17:D22"/>
    <mergeCell ref="AB17:AB22"/>
    <mergeCell ref="AC17:AC22"/>
    <mergeCell ref="AD17:AD22"/>
    <mergeCell ref="AE17:AE22"/>
    <mergeCell ref="AF17:AF22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Y17:AY22"/>
    <mergeCell ref="AZ17:AZ22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X8:AX13"/>
    <mergeCell ref="AI8:AI13"/>
    <mergeCell ref="AJ8:AJ13"/>
    <mergeCell ref="AK8:AK13"/>
    <mergeCell ref="AY8:AY13"/>
    <mergeCell ref="AZ8:AZ13"/>
    <mergeCell ref="BA8:BA13"/>
    <mergeCell ref="D14:D15"/>
    <mergeCell ref="AB14:AB15"/>
    <mergeCell ref="AC14:AC15"/>
    <mergeCell ref="AD14:AD15"/>
    <mergeCell ref="AE14:AE15"/>
    <mergeCell ref="AF14:AF15"/>
    <mergeCell ref="AR8:AR13"/>
    <mergeCell ref="AS8:AS13"/>
    <mergeCell ref="AT8:AT13"/>
    <mergeCell ref="AU8:AU13"/>
    <mergeCell ref="AV8:AV13"/>
    <mergeCell ref="AW8:AW13"/>
    <mergeCell ref="AL8:AL13"/>
    <mergeCell ref="AM8:AM13"/>
    <mergeCell ref="AN8:AN13"/>
    <mergeCell ref="AO8:AO13"/>
    <mergeCell ref="AP8:AP13"/>
    <mergeCell ref="AQ8:AQ13"/>
    <mergeCell ref="AF8:AF13"/>
    <mergeCell ref="AG8:AG13"/>
    <mergeCell ref="AH8:AH13"/>
    <mergeCell ref="AW3:AW7"/>
    <mergeCell ref="AX3:AX7"/>
    <mergeCell ref="AY3:AY7"/>
    <mergeCell ref="AZ3:AZ7"/>
    <mergeCell ref="BA3:BA7"/>
    <mergeCell ref="D8:D13"/>
    <mergeCell ref="AB8:AB13"/>
    <mergeCell ref="AC8:AC13"/>
    <mergeCell ref="AD8:AD13"/>
    <mergeCell ref="AE8:AE13"/>
    <mergeCell ref="AQ3:AQ7"/>
    <mergeCell ref="AR3:AR7"/>
    <mergeCell ref="AS3:AS7"/>
    <mergeCell ref="AT3:AT7"/>
    <mergeCell ref="AU3:AU7"/>
    <mergeCell ref="AV3:AV7"/>
    <mergeCell ref="AK3:AK7"/>
    <mergeCell ref="AL3:AL7"/>
    <mergeCell ref="AM3:AM7"/>
    <mergeCell ref="AN3:AN7"/>
    <mergeCell ref="AO3:AO7"/>
    <mergeCell ref="AP3:AP7"/>
    <mergeCell ref="AE3:AE7"/>
    <mergeCell ref="AF3:AF7"/>
    <mergeCell ref="AG3:AG7"/>
    <mergeCell ref="AH3:AH7"/>
    <mergeCell ref="AI3:AI7"/>
    <mergeCell ref="AJ3:AJ7"/>
    <mergeCell ref="B3:B34"/>
    <mergeCell ref="C3:C16"/>
    <mergeCell ref="D3:D7"/>
    <mergeCell ref="AB3:AB7"/>
    <mergeCell ref="AC3:AC7"/>
    <mergeCell ref="AD3:AD7"/>
    <mergeCell ref="AI17:AI22"/>
    <mergeCell ref="AJ17:A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8090-3AD3-44BC-A704-6166860A79FC}">
  <dimension ref="B1:AM51"/>
  <sheetViews>
    <sheetView topLeftCell="A24" workbookViewId="0">
      <selection activeCell="L51" sqref="L51"/>
    </sheetView>
  </sheetViews>
  <sheetFormatPr defaultRowHeight="14.4" x14ac:dyDescent="0.3"/>
  <cols>
    <col min="10" max="10" width="13.77734375" customWidth="1"/>
    <col min="12" max="12" width="15.33203125" bestFit="1" customWidth="1"/>
    <col min="13" max="13" width="16.109375" customWidth="1"/>
    <col min="16" max="16" width="21.109375" customWidth="1"/>
    <col min="17" max="17" width="7.6640625" customWidth="1"/>
    <col min="19" max="19" width="14.6640625" customWidth="1"/>
    <col min="22" max="22" width="15.77734375" customWidth="1"/>
    <col min="25" max="25" width="17.6640625" customWidth="1"/>
    <col min="28" max="28" width="18.21875" customWidth="1"/>
    <col min="32" max="32" width="16.109375" customWidth="1"/>
    <col min="33" max="33" width="17.21875" customWidth="1"/>
    <col min="34" max="34" width="24.44140625" customWidth="1"/>
    <col min="35" max="35" width="19.44140625" customWidth="1"/>
    <col min="36" max="36" width="15.5546875" customWidth="1"/>
    <col min="37" max="37" width="15.6640625" customWidth="1"/>
    <col min="38" max="38" width="16.77734375" customWidth="1"/>
  </cols>
  <sheetData>
    <row r="1" spans="2:39" ht="15" thickBot="1" x14ac:dyDescent="0.35">
      <c r="B1" s="8"/>
    </row>
    <row r="2" spans="2:39" ht="15" thickBot="1" x14ac:dyDescent="0.35">
      <c r="B2" s="8"/>
      <c r="H2" s="101" t="s">
        <v>0</v>
      </c>
      <c r="I2" s="101"/>
      <c r="J2" s="101"/>
      <c r="K2" s="101"/>
      <c r="L2" s="101"/>
      <c r="M2" s="101"/>
      <c r="N2" s="101"/>
      <c r="O2" s="101"/>
      <c r="P2" s="101"/>
    </row>
    <row r="3" spans="2:39" x14ac:dyDescent="0.3">
      <c r="B3" s="9"/>
      <c r="C3" s="10"/>
      <c r="D3" s="11" t="s">
        <v>1</v>
      </c>
      <c r="E3" s="12"/>
      <c r="F3" s="11"/>
      <c r="G3" s="11" t="s">
        <v>2</v>
      </c>
      <c r="H3" s="12"/>
      <c r="I3" s="11"/>
      <c r="J3" s="11" t="s">
        <v>3</v>
      </c>
      <c r="K3" s="12"/>
      <c r="L3" s="11"/>
      <c r="M3" s="11" t="s">
        <v>4</v>
      </c>
      <c r="N3" s="12"/>
      <c r="O3" s="11"/>
      <c r="P3" s="11" t="s">
        <v>5</v>
      </c>
      <c r="Q3" s="12"/>
      <c r="R3" s="11"/>
      <c r="S3" s="11" t="s">
        <v>6</v>
      </c>
      <c r="T3" s="12"/>
      <c r="U3" s="11"/>
      <c r="V3" s="11" t="s">
        <v>7</v>
      </c>
      <c r="W3" s="13"/>
      <c r="X3" s="11"/>
      <c r="Y3" s="11" t="s">
        <v>1</v>
      </c>
      <c r="Z3" s="13"/>
      <c r="AA3" s="11"/>
      <c r="AB3" s="11" t="s">
        <v>2</v>
      </c>
      <c r="AC3" s="12"/>
    </row>
    <row r="4" spans="2:39" ht="15" thickBot="1" x14ac:dyDescent="0.35">
      <c r="B4" s="14"/>
      <c r="C4" s="15"/>
      <c r="D4" s="16">
        <v>45998</v>
      </c>
      <c r="E4" s="17"/>
      <c r="F4" s="18"/>
      <c r="G4" s="16">
        <v>45999</v>
      </c>
      <c r="H4" s="17"/>
      <c r="I4" s="18"/>
      <c r="J4" s="16">
        <v>46000</v>
      </c>
      <c r="K4" s="17"/>
      <c r="L4" s="18"/>
      <c r="M4" s="16">
        <v>46001</v>
      </c>
      <c r="N4" s="17"/>
      <c r="O4" s="18"/>
      <c r="P4" s="16">
        <v>46002</v>
      </c>
      <c r="Q4" s="17"/>
      <c r="R4" s="18"/>
      <c r="S4" s="16">
        <v>46003</v>
      </c>
      <c r="T4" s="17"/>
      <c r="U4" s="18"/>
      <c r="V4" s="16">
        <v>46004</v>
      </c>
      <c r="W4" s="19"/>
      <c r="X4" s="18"/>
      <c r="Y4" s="16">
        <v>46005</v>
      </c>
      <c r="Z4" s="19"/>
      <c r="AA4" s="18"/>
      <c r="AB4" s="16">
        <v>46006</v>
      </c>
      <c r="AC4" s="17"/>
    </row>
    <row r="5" spans="2:39" ht="15" thickBot="1" x14ac:dyDescent="0.35">
      <c r="B5" s="20"/>
      <c r="C5" s="21" t="s">
        <v>8</v>
      </c>
      <c r="D5" s="22" t="s">
        <v>9</v>
      </c>
      <c r="E5" s="23" t="s">
        <v>10</v>
      </c>
      <c r="F5" s="24" t="s">
        <v>8</v>
      </c>
      <c r="G5" s="22" t="s">
        <v>9</v>
      </c>
      <c r="H5" s="23" t="s">
        <v>10</v>
      </c>
      <c r="I5" s="24" t="s">
        <v>8</v>
      </c>
      <c r="J5" s="22" t="s">
        <v>9</v>
      </c>
      <c r="K5" s="23" t="s">
        <v>10</v>
      </c>
      <c r="L5" s="24" t="s">
        <v>8</v>
      </c>
      <c r="M5" s="22" t="s">
        <v>9</v>
      </c>
      <c r="N5" s="23" t="s">
        <v>10</v>
      </c>
      <c r="O5" s="24" t="s">
        <v>8</v>
      </c>
      <c r="P5" s="22" t="s">
        <v>9</v>
      </c>
      <c r="Q5" s="23" t="s">
        <v>10</v>
      </c>
      <c r="R5" s="24" t="s">
        <v>8</v>
      </c>
      <c r="S5" s="22" t="s">
        <v>9</v>
      </c>
      <c r="T5" s="23" t="s">
        <v>10</v>
      </c>
      <c r="U5" s="24" t="s">
        <v>8</v>
      </c>
      <c r="V5" s="22" t="s">
        <v>9</v>
      </c>
      <c r="W5" s="23" t="s">
        <v>10</v>
      </c>
      <c r="X5" s="24" t="s">
        <v>8</v>
      </c>
      <c r="Y5" s="22" t="s">
        <v>9</v>
      </c>
      <c r="Z5" s="23" t="s">
        <v>10</v>
      </c>
      <c r="AA5" s="24" t="s">
        <v>8</v>
      </c>
      <c r="AB5" s="22" t="s">
        <v>9</v>
      </c>
      <c r="AC5" s="23" t="s">
        <v>10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</row>
    <row r="6" spans="2:39" x14ac:dyDescent="0.3">
      <c r="B6" s="25"/>
      <c r="C6" s="51"/>
      <c r="D6" s="51" t="s">
        <v>11</v>
      </c>
      <c r="E6" s="49"/>
      <c r="F6" s="49"/>
      <c r="G6" s="49" t="s">
        <v>11</v>
      </c>
      <c r="H6" s="49"/>
      <c r="I6" s="49"/>
      <c r="J6" s="49" t="s">
        <v>11</v>
      </c>
      <c r="K6" s="48">
        <v>0.66666666666666663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6"/>
      <c r="AA6" s="1"/>
      <c r="AB6" s="1"/>
      <c r="AC6" s="27"/>
      <c r="AM6" s="58"/>
    </row>
    <row r="7" spans="2:39" x14ac:dyDescent="0.3">
      <c r="B7" s="28"/>
      <c r="I7" s="50">
        <v>0.70833333333333337</v>
      </c>
      <c r="J7" s="51" t="s">
        <v>12</v>
      </c>
      <c r="K7" s="51"/>
      <c r="L7" s="51"/>
      <c r="M7" s="51" t="s">
        <v>12</v>
      </c>
      <c r="N7" s="51"/>
      <c r="O7" s="51"/>
      <c r="P7" s="51" t="s">
        <v>12</v>
      </c>
      <c r="Q7" s="51"/>
      <c r="R7" s="51"/>
      <c r="S7" s="51" t="s">
        <v>12</v>
      </c>
      <c r="T7" s="50">
        <v>0.20833333333333334</v>
      </c>
      <c r="AA7" s="29"/>
      <c r="AC7" s="30"/>
    </row>
    <row r="8" spans="2:39" ht="15" thickBot="1" x14ac:dyDescent="0.35">
      <c r="B8" s="31"/>
      <c r="C8" s="2"/>
      <c r="D8" s="3"/>
      <c r="R8" s="52">
        <v>0.5</v>
      </c>
      <c r="S8" s="53" t="s">
        <v>34</v>
      </c>
      <c r="T8" s="53"/>
      <c r="U8" s="53"/>
      <c r="V8" s="53" t="s">
        <v>34</v>
      </c>
      <c r="W8" s="53"/>
      <c r="X8" s="53"/>
      <c r="Y8" s="53" t="s">
        <v>34</v>
      </c>
      <c r="Z8" s="52">
        <v>0.65833333333333333</v>
      </c>
      <c r="AC8" s="32"/>
    </row>
    <row r="9" spans="2:39" x14ac:dyDescent="0.3">
      <c r="B9" s="31" t="s">
        <v>13</v>
      </c>
      <c r="E9" s="33"/>
      <c r="F9" s="34"/>
      <c r="G9" s="35" t="s">
        <v>14</v>
      </c>
      <c r="H9" s="33">
        <v>24</v>
      </c>
      <c r="I9" s="34"/>
      <c r="J9" s="35" t="s">
        <v>14</v>
      </c>
      <c r="K9" s="33">
        <v>16</v>
      </c>
      <c r="L9" s="34"/>
      <c r="M9" s="35" t="s">
        <v>14</v>
      </c>
      <c r="N9" s="33">
        <v>24</v>
      </c>
      <c r="O9" s="34"/>
      <c r="P9" s="35" t="s">
        <v>14</v>
      </c>
      <c r="Q9" s="33">
        <v>24</v>
      </c>
      <c r="R9" s="34"/>
      <c r="S9" s="35" t="s">
        <v>14</v>
      </c>
      <c r="T9" s="33">
        <v>5</v>
      </c>
      <c r="U9" s="34"/>
      <c r="V9" s="35" t="s">
        <v>14</v>
      </c>
      <c r="W9" s="33"/>
      <c r="X9" s="34"/>
      <c r="Y9" s="35" t="s">
        <v>14</v>
      </c>
      <c r="Z9" s="33"/>
      <c r="AA9" s="34"/>
      <c r="AB9" s="35" t="s">
        <v>14</v>
      </c>
      <c r="AC9" s="27"/>
      <c r="AF9">
        <f>H9+H10+K9+K10+N9+N10+Q9+Q10+T9+T10+W9+W10+Z9+Z10+AC9+AC10</f>
        <v>100</v>
      </c>
      <c r="AG9">
        <f>24*8</f>
        <v>192</v>
      </c>
      <c r="AH9">
        <f>AG9-AF9</f>
        <v>92</v>
      </c>
      <c r="AI9">
        <f>ROUNDUP(AF9/8,0)</f>
        <v>13</v>
      </c>
      <c r="AJ9">
        <f>ROUNDUP(AG9/8,0)</f>
        <v>24</v>
      </c>
      <c r="AK9" s="59">
        <f>AF9/AG9</f>
        <v>0.52083333333333337</v>
      </c>
      <c r="AL9" s="59">
        <f>AI9/AJ9</f>
        <v>0.54166666666666663</v>
      </c>
    </row>
    <row r="10" spans="2:39" ht="15" thickBot="1" x14ac:dyDescent="0.35">
      <c r="B10" s="31"/>
      <c r="E10" s="36"/>
      <c r="F10" s="37"/>
      <c r="G10" s="38" t="s">
        <v>15</v>
      </c>
      <c r="H10" s="36"/>
      <c r="I10" s="37"/>
      <c r="J10" s="38" t="s">
        <v>15</v>
      </c>
      <c r="K10" s="36">
        <v>7</v>
      </c>
      <c r="L10" s="37"/>
      <c r="M10" s="38" t="s">
        <v>15</v>
      </c>
      <c r="N10" s="36"/>
      <c r="O10" s="37"/>
      <c r="P10" s="38" t="s">
        <v>15</v>
      </c>
      <c r="Q10" s="36"/>
      <c r="R10" s="37"/>
      <c r="S10" s="38" t="s">
        <v>15</v>
      </c>
      <c r="T10" s="36"/>
      <c r="U10" s="37"/>
      <c r="V10" s="38" t="s">
        <v>15</v>
      </c>
      <c r="W10" s="36"/>
      <c r="X10" s="37"/>
      <c r="Y10" s="38" t="s">
        <v>15</v>
      </c>
      <c r="Z10" s="36"/>
      <c r="AA10" s="37"/>
      <c r="AB10" s="38" t="s">
        <v>15</v>
      </c>
      <c r="AC10" s="30"/>
    </row>
    <row r="11" spans="2:39" x14ac:dyDescent="0.3">
      <c r="B11" s="31"/>
      <c r="E11" s="36"/>
      <c r="F11" s="39"/>
      <c r="G11" s="38"/>
      <c r="H11" s="36"/>
      <c r="I11" s="39"/>
      <c r="J11" s="38"/>
      <c r="K11" s="36"/>
      <c r="L11" s="39"/>
      <c r="M11" s="38"/>
      <c r="N11" s="36"/>
      <c r="O11" s="39"/>
      <c r="P11" s="38"/>
      <c r="Q11" s="36"/>
      <c r="R11" s="39"/>
      <c r="S11" s="38"/>
      <c r="T11" s="36"/>
      <c r="U11" s="39"/>
      <c r="V11" s="38"/>
      <c r="W11" s="36"/>
      <c r="X11" s="39"/>
      <c r="Y11" s="38"/>
      <c r="Z11" s="36"/>
      <c r="AA11" s="39"/>
      <c r="AB11" s="38"/>
      <c r="AC11" s="30"/>
    </row>
    <row r="12" spans="2:39" ht="15" thickBot="1" x14ac:dyDescent="0.35">
      <c r="B12" s="31"/>
      <c r="C12" s="2"/>
      <c r="D12" s="3"/>
      <c r="E12" s="40"/>
      <c r="F12" s="37"/>
      <c r="G12" s="2" t="s">
        <v>16</v>
      </c>
      <c r="H12" s="40"/>
      <c r="I12" s="37"/>
      <c r="J12" s="2" t="s">
        <v>16</v>
      </c>
      <c r="K12" s="40"/>
      <c r="L12" s="37"/>
      <c r="M12" s="2" t="s">
        <v>16</v>
      </c>
      <c r="N12" s="40"/>
      <c r="O12" s="37"/>
      <c r="P12" s="2" t="s">
        <v>16</v>
      </c>
      <c r="Q12" s="40"/>
      <c r="R12" s="37"/>
      <c r="S12" s="2" t="s">
        <v>16</v>
      </c>
      <c r="T12" s="40"/>
      <c r="U12" s="37"/>
      <c r="V12" s="2" t="s">
        <v>16</v>
      </c>
      <c r="W12" s="40"/>
      <c r="X12" s="37"/>
      <c r="Y12" s="2" t="s">
        <v>16</v>
      </c>
      <c r="Z12" s="40"/>
      <c r="AA12" s="37"/>
      <c r="AB12" s="2" t="s">
        <v>16</v>
      </c>
      <c r="AC12" s="40"/>
    </row>
    <row r="13" spans="2:39" x14ac:dyDescent="0.3">
      <c r="B13" s="41"/>
      <c r="E13" s="1"/>
      <c r="F13" s="48">
        <v>0.27083333333333331</v>
      </c>
      <c r="G13" s="49" t="s">
        <v>17</v>
      </c>
      <c r="H13" s="49"/>
      <c r="I13" s="49"/>
      <c r="J13" s="49" t="s">
        <v>17</v>
      </c>
      <c r="K13" s="48">
        <v>0.58333333333333337</v>
      </c>
      <c r="L13" s="1"/>
      <c r="M13" s="1"/>
      <c r="N13" s="1"/>
      <c r="O13" s="1"/>
      <c r="P13" s="1"/>
      <c r="Q13" s="1"/>
      <c r="R13" s="26"/>
      <c r="S13" s="42"/>
      <c r="T13" s="26"/>
      <c r="U13" s="4">
        <v>0.25</v>
      </c>
      <c r="V13" s="54" t="s">
        <v>36</v>
      </c>
      <c r="W13" s="5"/>
      <c r="X13" s="4"/>
      <c r="Y13" s="54" t="s">
        <v>36</v>
      </c>
      <c r="Z13" s="4">
        <v>0.22916666666666666</v>
      </c>
      <c r="AA13" s="1"/>
      <c r="AB13" s="42"/>
      <c r="AC13" s="57"/>
      <c r="AK13" s="58"/>
      <c r="AM13" s="58"/>
    </row>
    <row r="14" spans="2:39" x14ac:dyDescent="0.3">
      <c r="B14" s="28"/>
      <c r="L14" s="50">
        <v>0.625</v>
      </c>
      <c r="M14" s="51" t="s">
        <v>18</v>
      </c>
      <c r="N14" s="51"/>
      <c r="O14" s="51"/>
      <c r="P14" s="51" t="s">
        <v>18</v>
      </c>
      <c r="Q14" s="50">
        <v>0.875</v>
      </c>
      <c r="X14" s="52">
        <v>0.27083333333333331</v>
      </c>
      <c r="Y14" s="53" t="s">
        <v>39</v>
      </c>
      <c r="Z14" s="53"/>
      <c r="AA14" s="53"/>
      <c r="AB14" s="53" t="s">
        <v>39</v>
      </c>
      <c r="AC14" s="56">
        <v>0.34375</v>
      </c>
    </row>
    <row r="15" spans="2:39" ht="15" thickBot="1" x14ac:dyDescent="0.35">
      <c r="B15" s="31"/>
      <c r="C15" s="2"/>
      <c r="D15" s="3"/>
      <c r="O15" s="52">
        <v>0.91666666666666663</v>
      </c>
      <c r="P15" s="53" t="s">
        <v>38</v>
      </c>
      <c r="Q15" s="53"/>
      <c r="R15" s="53"/>
      <c r="S15" s="53" t="s">
        <v>38</v>
      </c>
      <c r="T15" s="52">
        <v>0.67569444444444449</v>
      </c>
      <c r="Z15" s="29"/>
      <c r="AC15" s="30"/>
    </row>
    <row r="16" spans="2:39" x14ac:dyDescent="0.3">
      <c r="B16" s="31" t="s">
        <v>19</v>
      </c>
      <c r="E16" s="33"/>
      <c r="F16" s="34"/>
      <c r="G16" s="35" t="s">
        <v>14</v>
      </c>
      <c r="H16" s="33">
        <v>17.5</v>
      </c>
      <c r="I16" s="34"/>
      <c r="J16" s="35" t="s">
        <v>14</v>
      </c>
      <c r="K16" s="33">
        <v>14</v>
      </c>
      <c r="L16" s="34"/>
      <c r="M16" s="35" t="s">
        <v>14</v>
      </c>
      <c r="N16" s="33">
        <v>9</v>
      </c>
      <c r="O16" s="34"/>
      <c r="P16" s="35" t="s">
        <v>14</v>
      </c>
      <c r="Q16" s="33">
        <v>21</v>
      </c>
      <c r="R16" s="34"/>
      <c r="S16" s="35" t="s">
        <v>14</v>
      </c>
      <c r="T16" s="33">
        <v>16.216666</v>
      </c>
      <c r="U16" s="34"/>
      <c r="V16" s="35" t="s">
        <v>14</v>
      </c>
      <c r="W16" s="33"/>
      <c r="X16" s="34"/>
      <c r="Y16" s="35" t="s">
        <v>14</v>
      </c>
      <c r="Z16" s="33"/>
      <c r="AA16" s="34"/>
      <c r="AB16" s="35" t="s">
        <v>14</v>
      </c>
      <c r="AC16" s="27"/>
      <c r="AF16">
        <f>H16+H17+K16+K17+N16+N17+Q16+Q17+T16+T17+W16+W17+Z16+Z17+AC16+AC17</f>
        <v>79.716666000000004</v>
      </c>
      <c r="AG16">
        <f>24*8</f>
        <v>192</v>
      </c>
      <c r="AH16">
        <f>AG16-AF16</f>
        <v>112.283334</v>
      </c>
      <c r="AI16">
        <f>ROUNDUP(AF16/8,0)</f>
        <v>10</v>
      </c>
      <c r="AJ16">
        <f>ROUNDUP(AG16/8,0)</f>
        <v>24</v>
      </c>
      <c r="AK16" s="59">
        <f>AF16/AG16</f>
        <v>0.41519096875</v>
      </c>
      <c r="AL16" s="59">
        <f>AI16/AJ16</f>
        <v>0.41666666666666669</v>
      </c>
    </row>
    <row r="17" spans="2:39" ht="15" thickBot="1" x14ac:dyDescent="0.35">
      <c r="B17" s="31"/>
      <c r="E17" s="36"/>
      <c r="F17" s="37"/>
      <c r="G17" s="38" t="s">
        <v>15</v>
      </c>
      <c r="H17" s="36"/>
      <c r="I17" s="37"/>
      <c r="J17" s="38" t="s">
        <v>15</v>
      </c>
      <c r="K17" s="36"/>
      <c r="L17" s="37"/>
      <c r="M17" s="38" t="s">
        <v>15</v>
      </c>
      <c r="N17" s="36"/>
      <c r="O17" s="37"/>
      <c r="P17" s="38" t="s">
        <v>15</v>
      </c>
      <c r="Q17" s="36">
        <v>2</v>
      </c>
      <c r="R17" s="37"/>
      <c r="S17" s="38" t="s">
        <v>15</v>
      </c>
      <c r="T17" s="36"/>
      <c r="U17" s="37"/>
      <c r="V17" s="38" t="s">
        <v>15</v>
      </c>
      <c r="W17" s="36"/>
      <c r="X17" s="37"/>
      <c r="Y17" s="38" t="s">
        <v>15</v>
      </c>
      <c r="Z17" s="36"/>
      <c r="AA17" s="37"/>
      <c r="AB17" s="38" t="s">
        <v>15</v>
      </c>
      <c r="AC17" s="30"/>
    </row>
    <row r="18" spans="2:39" x14ac:dyDescent="0.3">
      <c r="B18" s="31"/>
      <c r="E18" s="36"/>
      <c r="F18" s="39"/>
      <c r="G18" s="38"/>
      <c r="H18" s="36"/>
      <c r="I18" s="39"/>
      <c r="J18" s="38"/>
      <c r="K18" s="36"/>
      <c r="L18" s="39"/>
      <c r="M18" s="38"/>
      <c r="N18" s="36"/>
      <c r="O18" s="39"/>
      <c r="P18" s="38"/>
      <c r="Q18" s="36"/>
      <c r="R18" s="39"/>
      <c r="S18" s="38"/>
      <c r="T18" s="36"/>
      <c r="U18" s="39"/>
      <c r="V18" s="38"/>
      <c r="W18" s="36"/>
      <c r="X18" s="39"/>
      <c r="Y18" s="38"/>
      <c r="Z18" s="36"/>
      <c r="AA18" s="39"/>
      <c r="AB18" s="38"/>
      <c r="AC18" s="30"/>
    </row>
    <row r="19" spans="2:39" ht="15" thickBot="1" x14ac:dyDescent="0.35">
      <c r="B19" s="31"/>
      <c r="C19" s="2"/>
      <c r="D19" s="3"/>
      <c r="E19" s="40"/>
      <c r="F19" s="37"/>
      <c r="G19" s="2" t="s">
        <v>16</v>
      </c>
      <c r="H19" s="40"/>
      <c r="I19" s="37"/>
      <c r="J19" s="2" t="s">
        <v>16</v>
      </c>
      <c r="K19" s="40"/>
      <c r="L19" s="37"/>
      <c r="M19" s="2" t="s">
        <v>16</v>
      </c>
      <c r="N19" s="40"/>
      <c r="O19" s="37"/>
      <c r="P19" s="2" t="s">
        <v>16</v>
      </c>
      <c r="Q19" s="40"/>
      <c r="R19" s="37"/>
      <c r="S19" s="2" t="s">
        <v>16</v>
      </c>
      <c r="T19" s="40"/>
      <c r="U19" s="37"/>
      <c r="V19" s="2" t="s">
        <v>16</v>
      </c>
      <c r="W19" s="40"/>
      <c r="X19" s="37"/>
      <c r="Y19" s="2" t="s">
        <v>16</v>
      </c>
      <c r="Z19" s="40"/>
      <c r="AA19" s="37"/>
      <c r="AB19" s="2" t="s">
        <v>16</v>
      </c>
      <c r="AC19" s="40"/>
    </row>
    <row r="20" spans="2:39" x14ac:dyDescent="0.3">
      <c r="B20" s="41"/>
      <c r="E20" s="1"/>
      <c r="R20" s="26"/>
      <c r="S20" s="1"/>
      <c r="T20" s="1"/>
      <c r="U20" s="1"/>
      <c r="V20" s="1"/>
      <c r="W20" s="26"/>
      <c r="X20" s="1"/>
      <c r="Y20" s="1"/>
      <c r="Z20" s="26"/>
      <c r="AA20" s="1"/>
      <c r="AB20" s="1"/>
      <c r="AC20" s="27"/>
      <c r="AK20" s="58"/>
      <c r="AM20" s="58"/>
    </row>
    <row r="21" spans="2:39" x14ac:dyDescent="0.3">
      <c r="B21" s="28"/>
      <c r="X21" s="29"/>
      <c r="AC21" s="43"/>
    </row>
    <row r="22" spans="2:39" ht="15" thickBot="1" x14ac:dyDescent="0.35">
      <c r="B22" s="31"/>
      <c r="C22" s="2"/>
      <c r="D22" s="3"/>
      <c r="AC22" s="32"/>
    </row>
    <row r="23" spans="2:39" x14ac:dyDescent="0.3">
      <c r="B23" s="31" t="s">
        <v>20</v>
      </c>
      <c r="E23" s="33"/>
      <c r="F23" s="34"/>
      <c r="G23" s="35" t="s">
        <v>14</v>
      </c>
      <c r="H23" s="33"/>
      <c r="I23" s="34"/>
      <c r="J23" s="35" t="s">
        <v>14</v>
      </c>
      <c r="K23" s="33"/>
      <c r="L23" s="34"/>
      <c r="M23" s="35" t="s">
        <v>14</v>
      </c>
      <c r="N23" s="33"/>
      <c r="O23" s="34"/>
      <c r="P23" s="35" t="s">
        <v>14</v>
      </c>
      <c r="Q23" s="33"/>
      <c r="R23" s="34"/>
      <c r="S23" s="35" t="s">
        <v>14</v>
      </c>
      <c r="T23" s="33"/>
      <c r="U23" s="34"/>
      <c r="V23" s="35" t="s">
        <v>14</v>
      </c>
      <c r="W23" s="33"/>
      <c r="X23" s="34"/>
      <c r="Y23" s="35" t="s">
        <v>14</v>
      </c>
      <c r="Z23" s="33"/>
      <c r="AA23" s="34"/>
      <c r="AB23" s="35" t="s">
        <v>14</v>
      </c>
      <c r="AC23" s="27"/>
      <c r="AF23">
        <f>H23+H24+K23+K24+N23+N24+Q23+Q24+T23+T24+W23+W24+Z23+Z24+AC23+AC24</f>
        <v>0</v>
      </c>
      <c r="AG23">
        <f>24*8</f>
        <v>192</v>
      </c>
      <c r="AH23">
        <f>AG23-AF23</f>
        <v>192</v>
      </c>
      <c r="AI23">
        <f>ROUNDUP(AF23/8,0)</f>
        <v>0</v>
      </c>
      <c r="AJ23">
        <f>ROUNDUP(AG23/8,0)</f>
        <v>24</v>
      </c>
      <c r="AK23" s="59">
        <f>AF23/AG23</f>
        <v>0</v>
      </c>
      <c r="AL23" s="59">
        <f>AI23/AJ23</f>
        <v>0</v>
      </c>
    </row>
    <row r="24" spans="2:39" ht="15" thickBot="1" x14ac:dyDescent="0.35">
      <c r="B24" s="31"/>
      <c r="E24" s="36"/>
      <c r="F24" s="37"/>
      <c r="G24" s="38" t="s">
        <v>15</v>
      </c>
      <c r="H24" s="36"/>
      <c r="I24" s="37"/>
      <c r="J24" s="38" t="s">
        <v>15</v>
      </c>
      <c r="K24" s="36"/>
      <c r="L24" s="37"/>
      <c r="M24" s="38" t="s">
        <v>15</v>
      </c>
      <c r="N24" s="36"/>
      <c r="O24" s="37"/>
      <c r="P24" s="38" t="s">
        <v>15</v>
      </c>
      <c r="Q24" s="36"/>
      <c r="R24" s="37"/>
      <c r="S24" s="38" t="s">
        <v>15</v>
      </c>
      <c r="T24" s="36"/>
      <c r="U24" s="37"/>
      <c r="V24" s="38" t="s">
        <v>15</v>
      </c>
      <c r="W24" s="36"/>
      <c r="X24" s="37"/>
      <c r="Y24" s="38" t="s">
        <v>15</v>
      </c>
      <c r="Z24" s="36"/>
      <c r="AA24" s="37"/>
      <c r="AB24" s="38" t="s">
        <v>15</v>
      </c>
      <c r="AC24" s="30"/>
    </row>
    <row r="25" spans="2:39" x14ac:dyDescent="0.3">
      <c r="B25" s="31"/>
      <c r="E25" s="36"/>
      <c r="F25" s="39"/>
      <c r="G25" s="38"/>
      <c r="H25" s="36"/>
      <c r="I25" s="39"/>
      <c r="J25" s="38"/>
      <c r="K25" s="36"/>
      <c r="L25" s="39"/>
      <c r="M25" s="38"/>
      <c r="N25" s="36"/>
      <c r="O25" s="39"/>
      <c r="P25" s="38"/>
      <c r="Q25" s="36"/>
      <c r="R25" s="39"/>
      <c r="S25" s="38"/>
      <c r="T25" s="36"/>
      <c r="U25" s="39"/>
      <c r="V25" s="38"/>
      <c r="W25" s="36"/>
      <c r="X25" s="39"/>
      <c r="Y25" s="38"/>
      <c r="Z25" s="36"/>
      <c r="AA25" s="39"/>
      <c r="AB25" s="38"/>
      <c r="AC25" s="30"/>
    </row>
    <row r="26" spans="2:39" ht="15" thickBot="1" x14ac:dyDescent="0.35">
      <c r="B26" s="31"/>
      <c r="C26" s="2"/>
      <c r="D26" s="3"/>
      <c r="E26" s="40"/>
      <c r="F26" s="37"/>
      <c r="G26" s="2" t="s">
        <v>16</v>
      </c>
      <c r="H26" s="40"/>
      <c r="I26" s="37"/>
      <c r="J26" s="2" t="s">
        <v>16</v>
      </c>
      <c r="K26" s="40"/>
      <c r="L26" s="37"/>
      <c r="M26" s="2" t="s">
        <v>16</v>
      </c>
      <c r="N26" s="40"/>
      <c r="O26" s="37"/>
      <c r="P26" s="2" t="s">
        <v>16</v>
      </c>
      <c r="Q26" s="40"/>
      <c r="R26" s="37"/>
      <c r="S26" s="2" t="s">
        <v>16</v>
      </c>
      <c r="T26" s="40"/>
      <c r="U26" s="37"/>
      <c r="V26" s="2" t="s">
        <v>16</v>
      </c>
      <c r="W26" s="40"/>
      <c r="X26" s="37"/>
      <c r="Y26" s="2" t="s">
        <v>16</v>
      </c>
      <c r="Z26" s="40"/>
      <c r="AA26" s="37"/>
      <c r="AB26" s="2" t="s">
        <v>16</v>
      </c>
      <c r="AC26" s="40"/>
    </row>
    <row r="27" spans="2:39" x14ac:dyDescent="0.3">
      <c r="B27" s="41"/>
      <c r="E27" s="1"/>
      <c r="F27" s="48">
        <v>0.3840277777777778</v>
      </c>
      <c r="G27" s="49" t="s">
        <v>21</v>
      </c>
      <c r="H27" s="49"/>
      <c r="I27" s="49"/>
      <c r="J27" s="49" t="s">
        <v>21</v>
      </c>
      <c r="K27" s="48">
        <v>0.5</v>
      </c>
      <c r="L27" s="1"/>
      <c r="M27" s="1"/>
      <c r="N27" s="1"/>
      <c r="O27" s="1"/>
      <c r="P27" s="1"/>
      <c r="Q27" s="1"/>
      <c r="R27" s="26"/>
      <c r="S27" s="1"/>
      <c r="T27" s="1"/>
      <c r="U27" s="1"/>
      <c r="V27" s="1"/>
      <c r="W27" s="26"/>
      <c r="X27" s="26"/>
      <c r="Y27" s="1"/>
      <c r="Z27" s="26"/>
      <c r="AA27" s="1"/>
      <c r="AB27" s="1"/>
      <c r="AC27" s="27"/>
      <c r="AK27" s="58"/>
      <c r="AM27" s="58"/>
    </row>
    <row r="28" spans="2:39" x14ac:dyDescent="0.3">
      <c r="B28" s="28"/>
      <c r="I28" s="50">
        <v>0.54166666666666663</v>
      </c>
      <c r="J28" s="51" t="s">
        <v>25</v>
      </c>
      <c r="K28" s="51"/>
      <c r="L28" s="51"/>
      <c r="M28" s="51" t="s">
        <v>25</v>
      </c>
      <c r="N28" s="51"/>
      <c r="O28" s="51"/>
      <c r="P28" s="51" t="s">
        <v>25</v>
      </c>
      <c r="Q28" s="50">
        <v>0.20833333333333334</v>
      </c>
      <c r="X28" s="29"/>
      <c r="AC28" s="43"/>
    </row>
    <row r="29" spans="2:39" ht="15" thickBot="1" x14ac:dyDescent="0.35">
      <c r="B29" s="31"/>
      <c r="C29" s="2"/>
      <c r="D29" s="3"/>
      <c r="O29" s="52">
        <v>0.25</v>
      </c>
      <c r="P29" s="53" t="s">
        <v>31</v>
      </c>
      <c r="Q29" s="53"/>
      <c r="R29" s="53"/>
      <c r="S29" s="53" t="s">
        <v>31</v>
      </c>
      <c r="T29" s="52">
        <v>0.1388888888888889</v>
      </c>
      <c r="W29" s="3"/>
      <c r="AC29" s="3"/>
      <c r="AD29" s="38"/>
    </row>
    <row r="30" spans="2:39" x14ac:dyDescent="0.3">
      <c r="B30" s="31" t="s">
        <v>23</v>
      </c>
      <c r="E30" s="33"/>
      <c r="F30" s="34"/>
      <c r="G30" s="35" t="s">
        <v>14</v>
      </c>
      <c r="H30" s="33">
        <v>15</v>
      </c>
      <c r="I30" s="34"/>
      <c r="J30" s="35" t="s">
        <v>14</v>
      </c>
      <c r="K30" s="33">
        <v>12</v>
      </c>
      <c r="L30" s="34"/>
      <c r="M30" s="35" t="s">
        <v>14</v>
      </c>
      <c r="N30" s="33">
        <v>24</v>
      </c>
      <c r="O30" s="34"/>
      <c r="P30" s="35" t="s">
        <v>14</v>
      </c>
      <c r="Q30" s="33">
        <v>5</v>
      </c>
      <c r="R30" s="34"/>
      <c r="S30" s="35" t="s">
        <v>14</v>
      </c>
      <c r="T30" s="33">
        <v>3.3333333000000001</v>
      </c>
      <c r="U30" s="34"/>
      <c r="V30" s="35" t="s">
        <v>14</v>
      </c>
      <c r="W30" s="33"/>
      <c r="X30" s="34"/>
      <c r="Y30" s="35" t="s">
        <v>14</v>
      </c>
      <c r="Z30" s="33"/>
      <c r="AA30" s="34"/>
      <c r="AB30" s="35" t="s">
        <v>14</v>
      </c>
      <c r="AC30" s="27"/>
      <c r="AF30">
        <f>H30+H31+K30+K31+N30+N31+Q30+Q31+T30+T31+W30+W31+Z30+Z31+AC30+AC31</f>
        <v>88.333333300000007</v>
      </c>
      <c r="AG30">
        <f>24*8</f>
        <v>192</v>
      </c>
      <c r="AH30">
        <f>AG30-AF30</f>
        <v>103.66666669999999</v>
      </c>
      <c r="AI30">
        <f>ROUNDUP(AF30/8,0)</f>
        <v>12</v>
      </c>
      <c r="AJ30">
        <f>ROUNDUP(AG30/8,0)</f>
        <v>24</v>
      </c>
      <c r="AK30" s="59">
        <f>AF30/AG30</f>
        <v>0.46006944427083335</v>
      </c>
      <c r="AL30" s="59">
        <f>AI30/AJ30</f>
        <v>0.5</v>
      </c>
    </row>
    <row r="31" spans="2:39" ht="15" thickBot="1" x14ac:dyDescent="0.35">
      <c r="B31" s="31"/>
      <c r="E31" s="36"/>
      <c r="F31" s="37"/>
      <c r="G31" s="38" t="s">
        <v>15</v>
      </c>
      <c r="H31" s="36"/>
      <c r="I31" s="37"/>
      <c r="J31" s="38" t="s">
        <v>15</v>
      </c>
      <c r="K31" s="36">
        <v>11</v>
      </c>
      <c r="L31" s="37"/>
      <c r="M31" s="38" t="s">
        <v>15</v>
      </c>
      <c r="N31" s="36"/>
      <c r="O31" s="37"/>
      <c r="P31" s="38" t="s">
        <v>15</v>
      </c>
      <c r="Q31" s="36">
        <v>18</v>
      </c>
      <c r="R31" s="37"/>
      <c r="S31" s="38" t="s">
        <v>15</v>
      </c>
      <c r="T31" s="36"/>
      <c r="U31" s="37"/>
      <c r="V31" s="38" t="s">
        <v>15</v>
      </c>
      <c r="W31" s="36"/>
      <c r="X31" s="37"/>
      <c r="Y31" s="38" t="s">
        <v>15</v>
      </c>
      <c r="Z31" s="36"/>
      <c r="AA31" s="37"/>
      <c r="AB31" s="38" t="s">
        <v>15</v>
      </c>
      <c r="AC31" s="30"/>
    </row>
    <row r="32" spans="2:39" x14ac:dyDescent="0.3">
      <c r="B32" s="31"/>
      <c r="E32" s="36"/>
      <c r="F32" s="39"/>
      <c r="G32" s="38"/>
      <c r="H32" s="36"/>
      <c r="I32" s="39"/>
      <c r="J32" s="38"/>
      <c r="K32" s="36"/>
      <c r="L32" s="39"/>
      <c r="M32" s="38"/>
      <c r="N32" s="36"/>
      <c r="O32" s="39"/>
      <c r="P32" s="38"/>
      <c r="Q32" s="36"/>
      <c r="R32" s="39"/>
      <c r="S32" s="38"/>
      <c r="T32" s="36"/>
      <c r="U32" s="39"/>
      <c r="V32" s="38"/>
      <c r="W32" s="36"/>
      <c r="X32" s="39"/>
      <c r="Y32" s="38"/>
      <c r="Z32" s="36"/>
      <c r="AA32" s="39"/>
      <c r="AB32" s="38"/>
      <c r="AC32" s="30"/>
    </row>
    <row r="33" spans="2:39" ht="15" thickBot="1" x14ac:dyDescent="0.35">
      <c r="B33" s="31"/>
      <c r="C33" s="2"/>
      <c r="D33" s="3"/>
      <c r="E33" s="40"/>
      <c r="F33" s="37"/>
      <c r="G33" s="2" t="s">
        <v>16</v>
      </c>
      <c r="H33" s="40"/>
      <c r="I33" s="37"/>
      <c r="J33" s="2" t="s">
        <v>16</v>
      </c>
      <c r="K33" s="40"/>
      <c r="L33" s="37"/>
      <c r="M33" s="2" t="s">
        <v>16</v>
      </c>
      <c r="N33" s="40"/>
      <c r="O33" s="37"/>
      <c r="P33" s="2" t="s">
        <v>16</v>
      </c>
      <c r="Q33" s="40"/>
      <c r="R33" s="37"/>
      <c r="S33" s="2" t="s">
        <v>16</v>
      </c>
      <c r="T33" s="40"/>
      <c r="U33" s="37"/>
      <c r="V33" s="2" t="s">
        <v>16</v>
      </c>
      <c r="W33" s="40"/>
      <c r="X33" s="37"/>
      <c r="Y33" s="2" t="s">
        <v>16</v>
      </c>
      <c r="Z33" s="40"/>
      <c r="AA33" s="37"/>
      <c r="AB33" s="2" t="s">
        <v>16</v>
      </c>
      <c r="AC33" s="40"/>
    </row>
    <row r="34" spans="2:39" x14ac:dyDescent="0.3">
      <c r="B34" s="41"/>
      <c r="E34" s="1"/>
      <c r="F34" s="48">
        <v>0.43263888888888891</v>
      </c>
      <c r="G34" s="49" t="s">
        <v>24</v>
      </c>
      <c r="H34" s="49"/>
      <c r="I34" s="49"/>
      <c r="J34" s="49" t="s">
        <v>24</v>
      </c>
      <c r="K34" s="48">
        <v>0.20833333333333334</v>
      </c>
      <c r="L34" s="1"/>
      <c r="M34" s="1"/>
      <c r="N34" s="1"/>
      <c r="O34" s="1"/>
      <c r="P34" s="1"/>
      <c r="Q34" s="1"/>
      <c r="R34" s="1"/>
      <c r="S34" s="1"/>
      <c r="T34" s="1"/>
      <c r="U34" s="26"/>
      <c r="V34" s="1"/>
      <c r="W34" s="1"/>
      <c r="X34" s="26"/>
      <c r="Y34" s="1"/>
      <c r="Z34" s="1"/>
      <c r="AA34" s="1"/>
      <c r="AB34" s="1"/>
      <c r="AC34" s="57"/>
      <c r="AK34" s="58"/>
      <c r="AM34" s="58"/>
    </row>
    <row r="35" spans="2:39" x14ac:dyDescent="0.3">
      <c r="B35" s="28"/>
      <c r="I35" s="50">
        <v>0.25</v>
      </c>
      <c r="J35" s="51" t="s">
        <v>22</v>
      </c>
      <c r="K35" s="51"/>
      <c r="L35" s="51"/>
      <c r="M35" s="51" t="s">
        <v>22</v>
      </c>
      <c r="N35" s="51"/>
      <c r="O35" s="51"/>
      <c r="P35" s="51" t="s">
        <v>22</v>
      </c>
      <c r="Q35" s="50">
        <v>0.16666666666666666</v>
      </c>
      <c r="AC35" s="30"/>
    </row>
    <row r="36" spans="2:39" ht="15" thickBot="1" x14ac:dyDescent="0.35">
      <c r="B36" s="31"/>
      <c r="C36" s="2"/>
      <c r="D36" s="3"/>
      <c r="O36" s="52">
        <v>0.20833333333333334</v>
      </c>
      <c r="P36" s="53" t="s">
        <v>32</v>
      </c>
      <c r="Q36" s="53"/>
      <c r="R36" s="53"/>
      <c r="S36" s="53" t="s">
        <v>32</v>
      </c>
      <c r="T36" s="52"/>
      <c r="U36" s="53"/>
      <c r="V36" s="53" t="s">
        <v>32</v>
      </c>
      <c r="W36" s="60">
        <v>0.60624999999999996</v>
      </c>
      <c r="Z36" s="44"/>
      <c r="AC36" s="30"/>
    </row>
    <row r="37" spans="2:39" x14ac:dyDescent="0.3">
      <c r="B37" s="31" t="s">
        <v>26</v>
      </c>
      <c r="E37" s="33"/>
      <c r="F37" s="34"/>
      <c r="G37" s="35" t="s">
        <v>14</v>
      </c>
      <c r="H37" s="33">
        <v>13.5</v>
      </c>
      <c r="I37" s="34"/>
      <c r="J37" s="35" t="s">
        <v>14</v>
      </c>
      <c r="K37" s="33">
        <v>5</v>
      </c>
      <c r="L37" s="34"/>
      <c r="M37" s="35" t="s">
        <v>14</v>
      </c>
      <c r="N37" s="33">
        <v>24</v>
      </c>
      <c r="O37" s="34"/>
      <c r="P37" s="35" t="s">
        <v>14</v>
      </c>
      <c r="Q37" s="33">
        <v>4</v>
      </c>
      <c r="R37" s="34"/>
      <c r="S37" s="35" t="s">
        <v>14</v>
      </c>
      <c r="T37" s="33">
        <v>24</v>
      </c>
      <c r="U37" s="34"/>
      <c r="V37" s="35" t="s">
        <v>14</v>
      </c>
      <c r="W37" s="33">
        <v>14.55</v>
      </c>
      <c r="X37" s="34"/>
      <c r="Y37" s="35" t="s">
        <v>14</v>
      </c>
      <c r="Z37" s="33"/>
      <c r="AA37" s="34"/>
      <c r="AB37" s="35" t="s">
        <v>14</v>
      </c>
      <c r="AC37" s="27"/>
      <c r="AF37">
        <f>H37+H38+K37+K38+N37+N38+Q37+Q38+T37+T38+W37+W38+Z37+Z38+AC37+AC38</f>
        <v>122.05</v>
      </c>
      <c r="AG37">
        <f>24*8</f>
        <v>192</v>
      </c>
      <c r="AH37">
        <f>AG37-AF37</f>
        <v>69.95</v>
      </c>
      <c r="AI37">
        <f>ROUNDUP(AF37/8,0)</f>
        <v>16</v>
      </c>
      <c r="AJ37">
        <f>ROUNDUP(AG37/8,0)</f>
        <v>24</v>
      </c>
      <c r="AK37" s="59">
        <f>AF37/AG37</f>
        <v>0.63567708333333328</v>
      </c>
      <c r="AL37" s="59">
        <f>AI37/AJ37</f>
        <v>0.66666666666666663</v>
      </c>
    </row>
    <row r="38" spans="2:39" ht="15" thickBot="1" x14ac:dyDescent="0.35">
      <c r="B38" s="31"/>
      <c r="E38" s="36"/>
      <c r="F38" s="37"/>
      <c r="G38" s="38" t="s">
        <v>15</v>
      </c>
      <c r="H38" s="36"/>
      <c r="I38" s="37"/>
      <c r="J38" s="38" t="s">
        <v>15</v>
      </c>
      <c r="K38" s="36">
        <v>18</v>
      </c>
      <c r="L38" s="37"/>
      <c r="M38" s="38" t="s">
        <v>15</v>
      </c>
      <c r="N38" s="36"/>
      <c r="O38" s="37"/>
      <c r="P38" s="38" t="s">
        <v>15</v>
      </c>
      <c r="Q38" s="36">
        <v>19</v>
      </c>
      <c r="R38" s="37"/>
      <c r="S38" s="38" t="s">
        <v>15</v>
      </c>
      <c r="T38" s="36"/>
      <c r="U38" s="37"/>
      <c r="V38" s="38" t="s">
        <v>15</v>
      </c>
      <c r="W38" s="36"/>
      <c r="X38" s="37"/>
      <c r="Y38" s="38" t="s">
        <v>15</v>
      </c>
      <c r="Z38" s="36"/>
      <c r="AA38" s="37"/>
      <c r="AB38" s="38" t="s">
        <v>15</v>
      </c>
      <c r="AC38" s="30"/>
    </row>
    <row r="39" spans="2:39" x14ac:dyDescent="0.3">
      <c r="B39" s="31"/>
      <c r="E39" s="36"/>
      <c r="F39" s="39"/>
      <c r="G39" s="38"/>
      <c r="H39" s="36"/>
      <c r="I39" s="39"/>
      <c r="J39" s="38"/>
      <c r="K39" s="36"/>
      <c r="L39" s="39"/>
      <c r="M39" s="38"/>
      <c r="N39" s="36"/>
      <c r="O39" s="39"/>
      <c r="P39" s="38"/>
      <c r="Q39" s="36"/>
      <c r="R39" s="39"/>
      <c r="S39" s="38"/>
      <c r="T39" s="36"/>
      <c r="U39" s="39"/>
      <c r="V39" s="38"/>
      <c r="W39" s="36"/>
      <c r="X39" s="39"/>
      <c r="Y39" s="38"/>
      <c r="Z39" s="36"/>
      <c r="AA39" s="39"/>
      <c r="AB39" s="38"/>
      <c r="AC39" s="30"/>
    </row>
    <row r="40" spans="2:39" ht="15" thickBot="1" x14ac:dyDescent="0.35">
      <c r="B40" s="45"/>
      <c r="C40" s="2"/>
      <c r="D40" s="3"/>
      <c r="E40" s="40"/>
      <c r="F40" s="37"/>
      <c r="G40" s="2" t="s">
        <v>16</v>
      </c>
      <c r="H40" s="40"/>
      <c r="I40" s="37"/>
      <c r="J40" s="2" t="s">
        <v>16</v>
      </c>
      <c r="K40" s="40"/>
      <c r="L40" s="37"/>
      <c r="M40" s="2" t="s">
        <v>16</v>
      </c>
      <c r="N40" s="40"/>
      <c r="O40" s="37"/>
      <c r="P40" s="2" t="s">
        <v>16</v>
      </c>
      <c r="Q40" s="40"/>
      <c r="R40" s="37"/>
      <c r="S40" s="2" t="s">
        <v>16</v>
      </c>
      <c r="T40" s="40"/>
      <c r="U40" s="37"/>
      <c r="V40" s="2" t="s">
        <v>16</v>
      </c>
      <c r="W40" s="40"/>
      <c r="X40" s="37"/>
      <c r="Y40" s="2" t="s">
        <v>16</v>
      </c>
      <c r="Z40" s="40"/>
      <c r="AA40" s="37"/>
      <c r="AB40" s="2" t="s">
        <v>16</v>
      </c>
      <c r="AC40" s="40"/>
    </row>
    <row r="41" spans="2:39" x14ac:dyDescent="0.3">
      <c r="B41" s="41"/>
      <c r="C41" s="6"/>
      <c r="D41" s="6" t="s">
        <v>27</v>
      </c>
      <c r="E41" s="6"/>
      <c r="F41" s="6"/>
      <c r="G41" s="6" t="s">
        <v>27</v>
      </c>
      <c r="H41" s="6"/>
      <c r="I41" s="6"/>
      <c r="J41" s="6" t="s">
        <v>27</v>
      </c>
      <c r="K41" s="6"/>
      <c r="L41" s="6"/>
      <c r="M41" s="6" t="s">
        <v>27</v>
      </c>
      <c r="N41" s="7">
        <v>0.83333333333333337</v>
      </c>
      <c r="O41" s="1"/>
      <c r="P41" s="1"/>
      <c r="Q41" s="1"/>
      <c r="U41" s="1"/>
      <c r="V41" s="1"/>
      <c r="W41" s="1"/>
      <c r="X41" s="4">
        <v>0.22083333333333333</v>
      </c>
      <c r="Y41" s="5" t="s">
        <v>35</v>
      </c>
      <c r="Z41" s="4">
        <v>0.59375</v>
      </c>
      <c r="AA41" s="26"/>
      <c r="AB41" s="1"/>
      <c r="AC41" s="57"/>
      <c r="AK41" s="58"/>
    </row>
    <row r="42" spans="2:39" x14ac:dyDescent="0.3">
      <c r="B42" s="28"/>
      <c r="L42" s="52">
        <v>0.875</v>
      </c>
      <c r="M42" s="53" t="s">
        <v>30</v>
      </c>
      <c r="N42" s="53"/>
      <c r="O42" s="53"/>
      <c r="P42" s="53" t="s">
        <v>30</v>
      </c>
      <c r="Q42" s="53"/>
      <c r="R42" s="53"/>
      <c r="S42" s="53" t="s">
        <v>30</v>
      </c>
      <c r="T42" s="52">
        <v>0.81319444444444444</v>
      </c>
      <c r="X42" s="52">
        <v>0.63541666666666663</v>
      </c>
      <c r="Y42" s="53" t="s">
        <v>37</v>
      </c>
      <c r="Z42" s="53"/>
      <c r="AA42" s="52"/>
      <c r="AB42" s="53" t="s">
        <v>37</v>
      </c>
      <c r="AC42" s="56">
        <v>0.90555555555555556</v>
      </c>
    </row>
    <row r="43" spans="2:39" ht="15" thickBot="1" x14ac:dyDescent="0.35">
      <c r="B43" s="31"/>
      <c r="C43" s="2"/>
      <c r="D43" s="3"/>
      <c r="R43" s="52">
        <v>0.85416666666666663</v>
      </c>
      <c r="S43" s="53" t="s">
        <v>33</v>
      </c>
      <c r="T43" s="53"/>
      <c r="U43" s="52"/>
      <c r="V43" s="53" t="s">
        <v>33</v>
      </c>
      <c r="W43" s="52"/>
      <c r="X43" s="52"/>
      <c r="Y43" s="53" t="s">
        <v>33</v>
      </c>
      <c r="Z43" s="52">
        <v>0.17916666666666667</v>
      </c>
      <c r="AC43" s="30"/>
    </row>
    <row r="44" spans="2:39" x14ac:dyDescent="0.3">
      <c r="B44" s="31" t="s">
        <v>28</v>
      </c>
      <c r="E44" s="33"/>
      <c r="F44" s="34"/>
      <c r="G44" s="35" t="s">
        <v>14</v>
      </c>
      <c r="H44" s="33"/>
      <c r="I44" s="34"/>
      <c r="J44" s="35" t="s">
        <v>14</v>
      </c>
      <c r="K44" s="33"/>
      <c r="L44" s="34"/>
      <c r="M44" s="35" t="s">
        <v>14</v>
      </c>
      <c r="N44" s="33">
        <v>3</v>
      </c>
      <c r="O44" s="34"/>
      <c r="P44" s="35" t="s">
        <v>14</v>
      </c>
      <c r="Q44" s="33">
        <v>24</v>
      </c>
      <c r="R44" s="34"/>
      <c r="S44" s="35" t="s">
        <v>14</v>
      </c>
      <c r="T44" s="33">
        <v>19.5166</v>
      </c>
      <c r="U44" s="34"/>
      <c r="V44" s="35" t="s">
        <v>14</v>
      </c>
      <c r="W44" s="33"/>
      <c r="X44" s="34"/>
      <c r="Y44" s="35" t="s">
        <v>14</v>
      </c>
      <c r="Z44" s="33"/>
      <c r="AA44" s="34"/>
      <c r="AB44" s="35" t="s">
        <v>14</v>
      </c>
      <c r="AC44" s="27"/>
      <c r="AF44">
        <f>H44+H45+K44+K45+N44+N45+Q44+Q45+T44+T45+W44+W45+Z44+Z45+AC44+AC45</f>
        <v>46.516599999999997</v>
      </c>
      <c r="AG44">
        <f>24*5+4</f>
        <v>124</v>
      </c>
      <c r="AH44">
        <f>AG44-AF44</f>
        <v>77.483400000000003</v>
      </c>
      <c r="AI44">
        <f>ROUNDUP(AF44/8,0)</f>
        <v>6</v>
      </c>
      <c r="AJ44">
        <f>ROUNDUP(AG44/8,0)</f>
        <v>16</v>
      </c>
      <c r="AK44" s="59">
        <f>AF44/AG44</f>
        <v>0.37513387096774192</v>
      </c>
      <c r="AL44" s="59">
        <f>AI44/AJ44</f>
        <v>0.375</v>
      </c>
    </row>
    <row r="45" spans="2:39" ht="15" thickBot="1" x14ac:dyDescent="0.35">
      <c r="B45" s="46"/>
      <c r="E45" s="36"/>
      <c r="F45" s="37"/>
      <c r="G45" s="38" t="s">
        <v>15</v>
      </c>
      <c r="H45" s="36"/>
      <c r="I45" s="37"/>
      <c r="J45" s="38" t="s">
        <v>15</v>
      </c>
      <c r="K45" s="36"/>
      <c r="L45" s="37"/>
      <c r="M45" s="38" t="s">
        <v>15</v>
      </c>
      <c r="N45" s="36"/>
      <c r="O45" s="37"/>
      <c r="P45" s="38" t="s">
        <v>15</v>
      </c>
      <c r="Q45" s="36"/>
      <c r="R45" s="37"/>
      <c r="S45" s="38" t="s">
        <v>15</v>
      </c>
      <c r="T45" s="36"/>
      <c r="U45" s="37"/>
      <c r="V45" s="38" t="s">
        <v>15</v>
      </c>
      <c r="W45" s="36"/>
      <c r="X45" s="37"/>
      <c r="Y45" s="38" t="s">
        <v>15</v>
      </c>
      <c r="Z45" s="36"/>
      <c r="AA45" s="37"/>
      <c r="AB45" s="38" t="s">
        <v>15</v>
      </c>
      <c r="AC45" s="30"/>
    </row>
    <row r="46" spans="2:39" x14ac:dyDescent="0.3">
      <c r="B46" s="46"/>
      <c r="E46" s="36"/>
      <c r="F46" s="39"/>
      <c r="G46" s="38"/>
      <c r="H46" s="36"/>
      <c r="I46" s="39"/>
      <c r="J46" s="38"/>
      <c r="K46" s="36"/>
      <c r="L46" s="39"/>
      <c r="M46" s="38"/>
      <c r="N46" s="36"/>
      <c r="O46" s="39"/>
      <c r="P46" s="38"/>
      <c r="Q46" s="36"/>
      <c r="R46" s="39"/>
      <c r="S46" s="38"/>
      <c r="T46" s="36"/>
      <c r="U46" s="39"/>
      <c r="V46" s="38"/>
      <c r="W46" s="36"/>
      <c r="X46" s="39"/>
      <c r="Y46" s="38"/>
      <c r="Z46" s="36"/>
      <c r="AA46" s="39"/>
      <c r="AB46" s="38"/>
      <c r="AC46" s="30"/>
    </row>
    <row r="47" spans="2:39" ht="15" thickBot="1" x14ac:dyDescent="0.35">
      <c r="B47" s="47"/>
      <c r="C47" s="2"/>
      <c r="D47" s="3"/>
      <c r="E47" s="40"/>
      <c r="F47" s="37"/>
      <c r="G47" s="2" t="s">
        <v>16</v>
      </c>
      <c r="H47" s="40"/>
      <c r="I47" s="37"/>
      <c r="J47" s="2" t="s">
        <v>16</v>
      </c>
      <c r="K47" s="40"/>
      <c r="L47" s="37"/>
      <c r="M47" s="2" t="s">
        <v>16</v>
      </c>
      <c r="N47" s="40"/>
      <c r="O47" s="37"/>
      <c r="P47" s="2" t="s">
        <v>16</v>
      </c>
      <c r="Q47" s="40"/>
      <c r="R47" s="37"/>
      <c r="S47" s="2" t="s">
        <v>16</v>
      </c>
      <c r="T47" s="40"/>
      <c r="U47" s="37"/>
      <c r="V47" s="2" t="s">
        <v>16</v>
      </c>
      <c r="W47" s="40"/>
      <c r="X47" s="37"/>
      <c r="Y47" s="2" t="s">
        <v>16</v>
      </c>
      <c r="Z47" s="40"/>
      <c r="AA47" s="37"/>
      <c r="AB47" s="2" t="s">
        <v>16</v>
      </c>
      <c r="AC47" s="40"/>
    </row>
    <row r="48" spans="2:39" x14ac:dyDescent="0.3">
      <c r="B48" s="8"/>
    </row>
    <row r="51" spans="12:12" x14ac:dyDescent="0.3">
      <c r="L51" s="87">
        <f>DATE(2024,12,14) + TIME(6,30,0) + ('[1]Datos semana 2'!$P$10/24)</f>
        <v>45641.34375</v>
      </c>
    </row>
  </sheetData>
  <mergeCells count="1">
    <mergeCell ref="H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1507-6891-4755-BA4F-F8CDE7D24F58}">
  <dimension ref="B2:BA39"/>
  <sheetViews>
    <sheetView tabSelected="1" topLeftCell="F1" workbookViewId="0">
      <selection activeCell="R27" sqref="R27"/>
    </sheetView>
  </sheetViews>
  <sheetFormatPr defaultColWidth="15.44140625" defaultRowHeight="14.4" x14ac:dyDescent="0.3"/>
  <cols>
    <col min="1" max="4" width="15.44140625" style="68"/>
    <col min="5" max="5" width="25.6640625" style="68" customWidth="1"/>
    <col min="6" max="15" width="15.44140625" style="68" customWidth="1"/>
    <col min="16" max="16" width="21" style="68" customWidth="1"/>
    <col min="17" max="18" width="19.33203125" style="68" customWidth="1"/>
    <col min="19" max="19" width="19.77734375" style="68" customWidth="1"/>
    <col min="20" max="21" width="19.88671875" style="68" customWidth="1"/>
    <col min="22" max="26" width="15.44140625" style="68"/>
    <col min="27" max="28" width="15.44140625" style="68" customWidth="1"/>
    <col min="29" max="31" width="15.44140625" style="68"/>
    <col min="32" max="33" width="15.44140625" style="68" customWidth="1"/>
    <col min="34" max="34" width="15.44140625" style="68"/>
    <col min="35" max="45" width="15.44140625" style="68" customWidth="1"/>
    <col min="46" max="16384" width="15.44140625" style="68"/>
  </cols>
  <sheetData>
    <row r="2" spans="2:53" s="63" customFormat="1" ht="43.2" x14ac:dyDescent="0.3">
      <c r="B2" s="61"/>
      <c r="C2" s="61" t="s">
        <v>47</v>
      </c>
      <c r="D2" s="61" t="s">
        <v>48</v>
      </c>
      <c r="E2" s="61" t="s">
        <v>49</v>
      </c>
      <c r="F2" s="61" t="s">
        <v>50</v>
      </c>
      <c r="G2" s="61" t="s">
        <v>51</v>
      </c>
      <c r="H2" s="61" t="s">
        <v>52</v>
      </c>
      <c r="I2" s="61" t="s">
        <v>53</v>
      </c>
      <c r="J2" s="61" t="s">
        <v>54</v>
      </c>
      <c r="K2" s="61" t="s">
        <v>55</v>
      </c>
      <c r="L2" s="61" t="s">
        <v>56</v>
      </c>
      <c r="M2" s="61" t="s">
        <v>57</v>
      </c>
      <c r="N2" s="61" t="s">
        <v>58</v>
      </c>
      <c r="O2" s="61" t="s">
        <v>59</v>
      </c>
      <c r="P2" s="61" t="s">
        <v>60</v>
      </c>
      <c r="Q2" s="61" t="s">
        <v>61</v>
      </c>
      <c r="R2" s="62" t="s">
        <v>62</v>
      </c>
      <c r="S2" s="61" t="s">
        <v>63</v>
      </c>
      <c r="T2" s="61" t="s">
        <v>64</v>
      </c>
      <c r="U2" s="62" t="s">
        <v>65</v>
      </c>
      <c r="V2" s="61" t="s">
        <v>66</v>
      </c>
      <c r="W2" s="61" t="s">
        <v>67</v>
      </c>
      <c r="X2" s="62" t="s">
        <v>68</v>
      </c>
      <c r="Y2" s="61" t="s">
        <v>69</v>
      </c>
      <c r="Z2" s="62" t="s">
        <v>70</v>
      </c>
      <c r="AA2" s="61" t="s">
        <v>71</v>
      </c>
      <c r="AB2" s="61" t="s">
        <v>72</v>
      </c>
      <c r="AC2" s="61" t="s">
        <v>73</v>
      </c>
      <c r="AD2" s="61" t="s">
        <v>74</v>
      </c>
      <c r="AE2" s="62" t="s">
        <v>75</v>
      </c>
      <c r="AF2" s="61" t="s">
        <v>76</v>
      </c>
      <c r="AG2" s="62" t="s">
        <v>77</v>
      </c>
      <c r="AH2" s="61" t="s">
        <v>78</v>
      </c>
      <c r="AI2" s="61" t="s">
        <v>79</v>
      </c>
      <c r="AJ2" s="61" t="s">
        <v>80</v>
      </c>
      <c r="AK2" s="62" t="s">
        <v>81</v>
      </c>
      <c r="AL2" s="61" t="s">
        <v>82</v>
      </c>
      <c r="AM2" s="62" t="s">
        <v>83</v>
      </c>
      <c r="AN2" s="61" t="s">
        <v>84</v>
      </c>
      <c r="AO2" s="61" t="s">
        <v>85</v>
      </c>
      <c r="AP2" s="61" t="s">
        <v>86</v>
      </c>
      <c r="AQ2" s="62" t="s">
        <v>87</v>
      </c>
      <c r="AR2" s="61" t="s">
        <v>88</v>
      </c>
      <c r="AS2" s="62" t="s">
        <v>89</v>
      </c>
      <c r="AT2" s="61" t="s">
        <v>90</v>
      </c>
      <c r="AU2" s="61" t="s">
        <v>91</v>
      </c>
      <c r="AV2" s="62" t="s">
        <v>92</v>
      </c>
      <c r="AW2" s="61" t="s">
        <v>93</v>
      </c>
      <c r="AX2" s="61" t="s">
        <v>94</v>
      </c>
      <c r="AY2" s="61" t="s">
        <v>95</v>
      </c>
      <c r="AZ2" s="61" t="s">
        <v>96</v>
      </c>
      <c r="BA2" s="61" t="s">
        <v>97</v>
      </c>
    </row>
    <row r="3" spans="2:53" ht="14.4" customHeight="1" x14ac:dyDescent="0.3">
      <c r="B3" s="100" t="s">
        <v>98</v>
      </c>
      <c r="C3" s="99" t="s">
        <v>99</v>
      </c>
      <c r="D3" s="99" t="s">
        <v>13</v>
      </c>
      <c r="E3" s="65" t="s">
        <v>11</v>
      </c>
      <c r="F3" s="65">
        <v>350.7</v>
      </c>
      <c r="G3" s="65">
        <v>1400</v>
      </c>
      <c r="H3" s="65" t="s">
        <v>100</v>
      </c>
      <c r="I3" s="65"/>
      <c r="J3" s="65"/>
      <c r="K3" s="65"/>
      <c r="L3" s="65"/>
      <c r="M3" s="65"/>
      <c r="N3" s="65"/>
      <c r="O3" s="65"/>
      <c r="P3" s="66">
        <v>45634</v>
      </c>
      <c r="Q3" s="66">
        <v>45634</v>
      </c>
      <c r="R3" s="66">
        <v>45634</v>
      </c>
      <c r="S3" s="66">
        <v>45635.666666666664</v>
      </c>
      <c r="T3" s="66">
        <v>45635.833333333336</v>
      </c>
      <c r="U3" s="66">
        <v>45635.666666666664</v>
      </c>
      <c r="V3" s="67">
        <f>(S3-P3)*24</f>
        <v>39.999999999941792</v>
      </c>
      <c r="W3" s="67">
        <f>(T3-Q3)*24</f>
        <v>44.000000000058208</v>
      </c>
      <c r="X3" s="67">
        <f>(U3-R3)*24</f>
        <v>39.999999999941792</v>
      </c>
      <c r="Y3" s="67">
        <f>$W$3-V3</f>
        <v>4.0000000001164153</v>
      </c>
      <c r="Z3" s="67">
        <f>W3-X3</f>
        <v>4.0000000001164153</v>
      </c>
      <c r="AA3" s="67"/>
      <c r="AB3" s="89">
        <v>1</v>
      </c>
      <c r="AC3" s="98">
        <f>V7</f>
        <v>99.999999999941792</v>
      </c>
      <c r="AD3" s="98">
        <f t="shared" ref="AD3:AE3" si="0">W7</f>
        <v>165.46666666661622</v>
      </c>
      <c r="AE3" s="98">
        <f t="shared" si="0"/>
        <v>177.54999999987194</v>
      </c>
      <c r="AF3" s="89">
        <f>AD3-AC3</f>
        <v>65.466666666674428</v>
      </c>
      <c r="AG3" s="89">
        <f>AD3-AE3</f>
        <v>-12.083333333255723</v>
      </c>
      <c r="AH3" s="89">
        <v>192</v>
      </c>
      <c r="AI3" s="89">
        <f>ROUNDUP(AC3/8,0)</f>
        <v>13</v>
      </c>
      <c r="AJ3" s="89">
        <f t="shared" ref="AJ3:AK3" si="1">ROUNDUP(AD3/8,0)</f>
        <v>21</v>
      </c>
      <c r="AK3" s="89">
        <f t="shared" si="1"/>
        <v>23</v>
      </c>
      <c r="AL3" s="89">
        <f>AJ3-AI3</f>
        <v>8</v>
      </c>
      <c r="AM3" s="89">
        <f>AJ3-AK3</f>
        <v>-2</v>
      </c>
      <c r="AN3" s="89">
        <f>AH3/8</f>
        <v>24</v>
      </c>
      <c r="AO3" s="98">
        <f>$AH$3-AC3</f>
        <v>92.000000000058208</v>
      </c>
      <c r="AP3" s="98">
        <f t="shared" ref="AP3:AQ3" si="2">$AH$3-AD3</f>
        <v>26.53333333338378</v>
      </c>
      <c r="AQ3" s="98">
        <f t="shared" si="2"/>
        <v>14.450000000128057</v>
      </c>
      <c r="AR3" s="89">
        <f>AP3-AO3</f>
        <v>-65.466666666674428</v>
      </c>
      <c r="AS3" s="89">
        <f>AP3-AQ3</f>
        <v>12.083333333255723</v>
      </c>
      <c r="AT3" s="92">
        <f>AC3/$AH$3</f>
        <v>0.52083333333303017</v>
      </c>
      <c r="AU3" s="92">
        <f t="shared" ref="AU3:AV3" si="3">AD3/$AH$3</f>
        <v>0.86180555555529281</v>
      </c>
      <c r="AV3" s="92">
        <f t="shared" si="3"/>
        <v>0.92473958333266637</v>
      </c>
      <c r="AW3" s="95">
        <f>AU3-AT3</f>
        <v>0.34097222222226264</v>
      </c>
      <c r="AX3" s="95">
        <f>AU3-AV3</f>
        <v>-6.2934027777373558E-2</v>
      </c>
      <c r="AY3" s="89">
        <v>0</v>
      </c>
      <c r="AZ3" s="89">
        <v>2</v>
      </c>
      <c r="BA3" s="89">
        <v>0</v>
      </c>
    </row>
    <row r="4" spans="2:53" x14ac:dyDescent="0.3">
      <c r="B4" s="100"/>
      <c r="C4" s="99"/>
      <c r="D4" s="99"/>
      <c r="E4" s="65" t="s">
        <v>12</v>
      </c>
      <c r="F4" s="65">
        <v>348.5</v>
      </c>
      <c r="G4" s="65">
        <v>2000</v>
      </c>
      <c r="H4" s="65" t="s">
        <v>100</v>
      </c>
      <c r="I4" s="65"/>
      <c r="J4" s="65"/>
      <c r="K4" s="65"/>
      <c r="L4" s="65"/>
      <c r="M4" s="65"/>
      <c r="N4" s="65"/>
      <c r="O4" s="65"/>
      <c r="P4" s="66">
        <v>45635.708333333336</v>
      </c>
      <c r="Q4" s="66">
        <v>45635.875</v>
      </c>
      <c r="R4" s="66">
        <v>45635.708333333336</v>
      </c>
      <c r="S4" s="66">
        <v>45638.208333333336</v>
      </c>
      <c r="T4" s="66">
        <v>45637.999305555553</v>
      </c>
      <c r="U4" s="66">
        <v>45638.208333333336</v>
      </c>
      <c r="V4" s="67">
        <f>(S4-P4)*24</f>
        <v>60</v>
      </c>
      <c r="W4" s="67">
        <f>(T4-Q4)*24</f>
        <v>50.983333333279006</v>
      </c>
      <c r="X4" s="67">
        <f t="shared" ref="X4:X5" si="4">(U4-R4)*24</f>
        <v>60</v>
      </c>
      <c r="Y4" s="67">
        <f t="shared" ref="Y4:Z31" si="5">W4-V4</f>
        <v>-9.0166666667209938</v>
      </c>
      <c r="Z4" s="67">
        <f t="shared" ref="Z4:Z6" si="6">W4-X4</f>
        <v>-9.0166666667209938</v>
      </c>
      <c r="AA4" s="67" t="s">
        <v>100</v>
      </c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3"/>
      <c r="AU4" s="93"/>
      <c r="AV4" s="93"/>
      <c r="AW4" s="90"/>
      <c r="AX4" s="96"/>
      <c r="AY4" s="90"/>
      <c r="AZ4" s="90"/>
      <c r="BA4" s="90"/>
    </row>
    <row r="5" spans="2:53" x14ac:dyDescent="0.3">
      <c r="B5" s="100"/>
      <c r="C5" s="99"/>
      <c r="D5" s="99"/>
      <c r="E5" s="65" t="s">
        <v>34</v>
      </c>
      <c r="F5" s="65">
        <v>336.94</v>
      </c>
      <c r="G5" s="65">
        <v>4300</v>
      </c>
      <c r="H5" s="65"/>
      <c r="I5" s="65"/>
      <c r="J5" s="65" t="s">
        <v>100</v>
      </c>
      <c r="K5" s="65"/>
      <c r="L5" s="65"/>
      <c r="M5" s="65"/>
      <c r="N5" s="65"/>
      <c r="O5" s="69">
        <v>45636</v>
      </c>
      <c r="P5" s="66">
        <v>45638.25</v>
      </c>
      <c r="Q5" s="66">
        <v>45638.25</v>
      </c>
      <c r="R5" s="66">
        <v>45638.5</v>
      </c>
      <c r="S5" s="66">
        <v>45640.833333333336</v>
      </c>
      <c r="T5" s="66">
        <v>45640.4375</v>
      </c>
      <c r="U5" s="66">
        <v>45640.658333333333</v>
      </c>
      <c r="V5" s="67"/>
      <c r="W5" s="67">
        <f>(T5-Q5)*24</f>
        <v>52.5</v>
      </c>
      <c r="X5" s="67">
        <f t="shared" si="4"/>
        <v>51.799999999988358</v>
      </c>
      <c r="Y5" s="67">
        <f t="shared" si="5"/>
        <v>52.5</v>
      </c>
      <c r="Z5" s="67">
        <f t="shared" si="6"/>
        <v>0.70000000001164153</v>
      </c>
      <c r="AA5" s="67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3"/>
      <c r="AU5" s="93"/>
      <c r="AV5" s="93"/>
      <c r="AW5" s="90"/>
      <c r="AX5" s="96"/>
      <c r="AY5" s="90"/>
      <c r="AZ5" s="90"/>
      <c r="BA5" s="90"/>
    </row>
    <row r="6" spans="2:53" x14ac:dyDescent="0.3">
      <c r="B6" s="100"/>
      <c r="C6" s="99"/>
      <c r="D6" s="99"/>
      <c r="E6" s="65" t="s">
        <v>39</v>
      </c>
      <c r="F6" s="65">
        <v>294.02999999999997</v>
      </c>
      <c r="G6" s="65">
        <v>1000</v>
      </c>
      <c r="H6" s="65"/>
      <c r="I6" s="65"/>
      <c r="J6" s="65" t="s">
        <v>100</v>
      </c>
      <c r="K6" s="65"/>
      <c r="L6" s="65"/>
      <c r="M6" s="65"/>
      <c r="N6" s="65"/>
      <c r="O6" s="69">
        <v>45638</v>
      </c>
      <c r="P6" s="66">
        <v>45641.333333333336</v>
      </c>
      <c r="Q6" s="66">
        <v>45641.25</v>
      </c>
      <c r="R6" s="66">
        <v>45640.270833333336</v>
      </c>
      <c r="S6" s="66">
        <v>45641.999305555553</v>
      </c>
      <c r="T6" s="66">
        <v>45641.999305555553</v>
      </c>
      <c r="U6" s="66">
        <v>45641.34375</v>
      </c>
      <c r="V6" s="67"/>
      <c r="W6" s="67">
        <f>(T6-Q6)*24</f>
        <v>17.983333333279006</v>
      </c>
      <c r="X6" s="67">
        <f>(U6-R6)*24</f>
        <v>25.749999999941792</v>
      </c>
      <c r="Y6" s="67">
        <f t="shared" si="5"/>
        <v>17.983333333279006</v>
      </c>
      <c r="Z6" s="67">
        <f t="shared" si="6"/>
        <v>-7.7666666666627862</v>
      </c>
      <c r="AA6" s="67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3"/>
      <c r="AU6" s="93"/>
      <c r="AV6" s="93"/>
      <c r="AW6" s="90"/>
      <c r="AX6" s="96"/>
      <c r="AY6" s="90"/>
      <c r="AZ6" s="90"/>
      <c r="BA6" s="90"/>
    </row>
    <row r="7" spans="2:53" x14ac:dyDescent="0.3">
      <c r="B7" s="100"/>
      <c r="C7" s="99"/>
      <c r="D7" s="99"/>
      <c r="E7" s="70" t="s">
        <v>101</v>
      </c>
      <c r="F7" s="71"/>
      <c r="G7" s="71"/>
      <c r="H7" s="72"/>
      <c r="I7" s="71"/>
      <c r="J7" s="71"/>
      <c r="K7" s="71"/>
      <c r="L7" s="71">
        <v>2</v>
      </c>
      <c r="M7" s="71">
        <v>4</v>
      </c>
      <c r="N7" s="71"/>
      <c r="O7" s="71"/>
      <c r="P7" s="71"/>
      <c r="Q7" s="71"/>
      <c r="R7" s="71"/>
      <c r="S7" s="71"/>
      <c r="T7" s="71"/>
      <c r="U7" s="71"/>
      <c r="V7" s="73">
        <f>SUM(V3:V6)</f>
        <v>99.999999999941792</v>
      </c>
      <c r="W7" s="73">
        <f>SUM(W3:W6)</f>
        <v>165.46666666661622</v>
      </c>
      <c r="X7" s="73">
        <f>SUM(X3:X6)</f>
        <v>177.54999999987194</v>
      </c>
      <c r="Y7" s="73">
        <f>SUM(Y3:Y6)</f>
        <v>65.466666666674428</v>
      </c>
      <c r="Z7" s="73">
        <f>SUM(Z3:Z6)</f>
        <v>-12.083333333255723</v>
      </c>
      <c r="AA7" s="74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4"/>
      <c r="AU7" s="94"/>
      <c r="AV7" s="94"/>
      <c r="AW7" s="91"/>
      <c r="AX7" s="97"/>
      <c r="AY7" s="91"/>
      <c r="AZ7" s="91"/>
      <c r="BA7" s="91"/>
    </row>
    <row r="8" spans="2:53" x14ac:dyDescent="0.3">
      <c r="B8" s="100"/>
      <c r="C8" s="99"/>
      <c r="D8" s="99" t="s">
        <v>19</v>
      </c>
      <c r="E8" s="65" t="s">
        <v>17</v>
      </c>
      <c r="F8" s="65">
        <v>279.89999999999998</v>
      </c>
      <c r="G8" s="65">
        <v>1300</v>
      </c>
      <c r="H8" s="65" t="s">
        <v>102</v>
      </c>
      <c r="I8" s="65"/>
      <c r="J8" s="65"/>
      <c r="K8" s="65"/>
      <c r="L8" s="65"/>
      <c r="M8" s="65"/>
      <c r="N8" s="65"/>
      <c r="O8" s="65"/>
      <c r="P8" s="66">
        <v>45634.270833333336</v>
      </c>
      <c r="Q8" s="66">
        <v>45634.270833333336</v>
      </c>
      <c r="R8" s="66">
        <v>45634.270833333336</v>
      </c>
      <c r="S8" s="66">
        <v>45635.583333333336</v>
      </c>
      <c r="T8" s="66">
        <v>45635.5</v>
      </c>
      <c r="U8" s="66">
        <v>45635.583333333336</v>
      </c>
      <c r="V8" s="67">
        <f>(S8-P8)*24</f>
        <v>31.5</v>
      </c>
      <c r="W8" s="67">
        <f>(T8-Q8)*24</f>
        <v>29.499999999941792</v>
      </c>
      <c r="X8" s="67">
        <f>(U8-R8)*24</f>
        <v>31.5</v>
      </c>
      <c r="Y8" s="67">
        <f t="shared" si="5"/>
        <v>-2.0000000000582077</v>
      </c>
      <c r="Z8" s="67">
        <f>W8-X8</f>
        <v>-2.0000000000582077</v>
      </c>
      <c r="AA8" s="67"/>
      <c r="AB8" s="89">
        <v>0</v>
      </c>
      <c r="AC8" s="98">
        <f>V13</f>
        <v>61.5</v>
      </c>
      <c r="AD8" s="98">
        <f t="shared" ref="AD8:AE8" si="7">W13</f>
        <v>145.98333333316259</v>
      </c>
      <c r="AE8" s="98">
        <f t="shared" si="7"/>
        <v>103.21666666661622</v>
      </c>
      <c r="AF8" s="89">
        <f>AD8-AC8</f>
        <v>84.483333333162591</v>
      </c>
      <c r="AG8" s="89">
        <f>AD8-AE8</f>
        <v>42.766666666546371</v>
      </c>
      <c r="AH8" s="89">
        <v>192</v>
      </c>
      <c r="AI8" s="89">
        <f>ROUNDUP(AC8/8,)</f>
        <v>8</v>
      </c>
      <c r="AJ8" s="89">
        <f>ROUNDUP(AD8/8,)</f>
        <v>19</v>
      </c>
      <c r="AK8" s="89">
        <f>ROUNDUP(AE8/8,)</f>
        <v>13</v>
      </c>
      <c r="AL8" s="89">
        <f>AJ8-AI8</f>
        <v>11</v>
      </c>
      <c r="AM8" s="89">
        <f>AJ8-AK8</f>
        <v>6</v>
      </c>
      <c r="AN8" s="89">
        <f>AH8/8</f>
        <v>24</v>
      </c>
      <c r="AO8" s="98">
        <f>$AH$8-AC8</f>
        <v>130.5</v>
      </c>
      <c r="AP8" s="98">
        <f t="shared" ref="AP8:AQ8" si="8">$AH$8-AD8</f>
        <v>46.016666666837409</v>
      </c>
      <c r="AQ8" s="98">
        <f t="shared" si="8"/>
        <v>88.78333333338378</v>
      </c>
      <c r="AR8" s="89">
        <f>AP8-AO8</f>
        <v>-84.483333333162591</v>
      </c>
      <c r="AS8" s="89">
        <f>AP8-AQ8</f>
        <v>-42.766666666546371</v>
      </c>
      <c r="AT8" s="92">
        <f>AC8/$AH$8</f>
        <v>0.3203125</v>
      </c>
      <c r="AU8" s="92">
        <f t="shared" ref="AU8:AV8" si="9">AD8/$AH$8</f>
        <v>0.76032986111022183</v>
      </c>
      <c r="AV8" s="92">
        <f t="shared" si="9"/>
        <v>0.53758680555529281</v>
      </c>
      <c r="AW8" s="95">
        <f>AU8-AT8</f>
        <v>0.44001736111022183</v>
      </c>
      <c r="AX8" s="95">
        <f>AU8-AV8</f>
        <v>0.22274305555492901</v>
      </c>
      <c r="AY8" s="89">
        <v>0</v>
      </c>
      <c r="AZ8" s="89">
        <v>3</v>
      </c>
      <c r="BA8" s="89">
        <v>0</v>
      </c>
    </row>
    <row r="9" spans="2:53" x14ac:dyDescent="0.3">
      <c r="B9" s="100"/>
      <c r="C9" s="99"/>
      <c r="D9" s="99"/>
      <c r="E9" s="65" t="s">
        <v>18</v>
      </c>
      <c r="F9" s="65">
        <v>299.92</v>
      </c>
      <c r="G9" s="65">
        <v>2600</v>
      </c>
      <c r="H9" s="65" t="s">
        <v>100</v>
      </c>
      <c r="I9" s="65"/>
      <c r="J9" s="65"/>
      <c r="K9" s="65"/>
      <c r="L9" s="65"/>
      <c r="M9" s="65"/>
      <c r="N9" s="65"/>
      <c r="O9" s="65"/>
      <c r="P9" s="66">
        <v>45636.625</v>
      </c>
      <c r="Q9" s="66">
        <v>45636.541666666664</v>
      </c>
      <c r="R9" s="66">
        <v>45636.625</v>
      </c>
      <c r="S9" s="66">
        <v>45637.875</v>
      </c>
      <c r="T9" s="66">
        <v>45637.854166666664</v>
      </c>
      <c r="U9" s="66">
        <v>45637.875</v>
      </c>
      <c r="V9" s="67">
        <f>(S9-P9)*24</f>
        <v>30</v>
      </c>
      <c r="W9" s="67">
        <f>(T9-Q9)*24</f>
        <v>31.5</v>
      </c>
      <c r="X9" s="67">
        <f t="shared" ref="X9:X11" si="10">(U9-R9)*24</f>
        <v>30</v>
      </c>
      <c r="Y9" s="67">
        <f t="shared" si="5"/>
        <v>1.5</v>
      </c>
      <c r="Z9" s="67">
        <f t="shared" ref="Z9:Z11" si="11">W9-X9</f>
        <v>1.5</v>
      </c>
      <c r="AA9" s="67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3"/>
      <c r="AU9" s="93"/>
      <c r="AV9" s="93"/>
      <c r="AW9" s="90"/>
      <c r="AX9" s="96"/>
      <c r="AY9" s="90"/>
      <c r="AZ9" s="90"/>
      <c r="BA9" s="90"/>
    </row>
    <row r="10" spans="2:53" x14ac:dyDescent="0.3">
      <c r="B10" s="100"/>
      <c r="C10" s="99"/>
      <c r="D10" s="99"/>
      <c r="E10" s="65" t="s">
        <v>38</v>
      </c>
      <c r="F10" s="65">
        <v>132.38</v>
      </c>
      <c r="G10" s="65">
        <v>270</v>
      </c>
      <c r="H10" s="65"/>
      <c r="I10" s="65"/>
      <c r="J10" s="65" t="s">
        <v>100</v>
      </c>
      <c r="K10" s="65"/>
      <c r="L10" s="65"/>
      <c r="M10" s="65"/>
      <c r="N10" s="65"/>
      <c r="O10" s="69">
        <v>45635</v>
      </c>
      <c r="P10" s="66">
        <v>45637.999305555553</v>
      </c>
      <c r="Q10" s="66">
        <v>45637.895833333336</v>
      </c>
      <c r="R10" s="66">
        <v>45637.916666666664</v>
      </c>
      <c r="S10" s="66">
        <v>45638.666666666664</v>
      </c>
      <c r="T10" s="66">
        <v>45638.583333333336</v>
      </c>
      <c r="U10" s="66">
        <v>45638.675694444442</v>
      </c>
      <c r="V10" s="67"/>
      <c r="W10" s="67">
        <f>(T10-Q10)*24</f>
        <v>16.5</v>
      </c>
      <c r="X10" s="67">
        <f t="shared" si="10"/>
        <v>18.216666666674428</v>
      </c>
      <c r="Y10" s="67">
        <f t="shared" si="5"/>
        <v>16.5</v>
      </c>
      <c r="Z10" s="67">
        <f t="shared" si="11"/>
        <v>-1.7166666666744277</v>
      </c>
      <c r="AA10" s="67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3"/>
      <c r="AU10" s="93"/>
      <c r="AV10" s="93"/>
      <c r="AW10" s="90"/>
      <c r="AX10" s="96"/>
      <c r="AY10" s="90"/>
      <c r="AZ10" s="90"/>
      <c r="BA10" s="90"/>
    </row>
    <row r="11" spans="2:53" x14ac:dyDescent="0.3">
      <c r="B11" s="100"/>
      <c r="C11" s="99"/>
      <c r="D11" s="99"/>
      <c r="E11" s="65" t="s">
        <v>36</v>
      </c>
      <c r="F11" s="65">
        <v>200</v>
      </c>
      <c r="G11" s="65">
        <v>950</v>
      </c>
      <c r="H11" s="65"/>
      <c r="I11" s="65"/>
      <c r="J11" s="65" t="s">
        <v>100</v>
      </c>
      <c r="K11" s="65"/>
      <c r="L11" s="65"/>
      <c r="M11" s="65"/>
      <c r="N11" s="65"/>
      <c r="O11" s="69">
        <v>45636</v>
      </c>
      <c r="P11" s="66">
        <v>45638.875</v>
      </c>
      <c r="Q11" s="66">
        <v>45638.875</v>
      </c>
      <c r="R11" s="66">
        <v>45639.25</v>
      </c>
      <c r="S11" s="66">
        <v>45640.166666666664</v>
      </c>
      <c r="T11" s="66">
        <v>45640.25</v>
      </c>
      <c r="U11" s="66">
        <v>45640.229166666664</v>
      </c>
      <c r="V11" s="67"/>
      <c r="W11" s="67">
        <f>(T11-Q11)*24</f>
        <v>33</v>
      </c>
      <c r="X11" s="67">
        <f t="shared" si="10"/>
        <v>23.499999999941792</v>
      </c>
      <c r="Y11" s="67">
        <f t="shared" si="5"/>
        <v>33</v>
      </c>
      <c r="Z11" s="67">
        <f t="shared" si="11"/>
        <v>9.5000000000582077</v>
      </c>
      <c r="AA11" s="67" t="s">
        <v>100</v>
      </c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3"/>
      <c r="AU11" s="93"/>
      <c r="AV11" s="93"/>
      <c r="AW11" s="90"/>
      <c r="AX11" s="96"/>
      <c r="AY11" s="90"/>
      <c r="AZ11" s="90"/>
      <c r="BA11" s="90"/>
    </row>
    <row r="12" spans="2:53" ht="14.4" customHeight="1" x14ac:dyDescent="0.3">
      <c r="B12" s="100"/>
      <c r="C12" s="99"/>
      <c r="D12" s="99"/>
      <c r="E12" s="88" t="s">
        <v>103</v>
      </c>
      <c r="F12" s="65"/>
      <c r="G12" s="65"/>
      <c r="H12" s="65"/>
      <c r="I12" s="65"/>
      <c r="J12" s="65"/>
      <c r="K12" s="65" t="s">
        <v>100</v>
      </c>
      <c r="L12" s="65"/>
      <c r="M12" s="65"/>
      <c r="N12" s="69">
        <v>45635</v>
      </c>
      <c r="O12" s="69">
        <v>45638</v>
      </c>
      <c r="P12" s="66">
        <v>45640.833333333336</v>
      </c>
      <c r="Q12" s="66">
        <v>45640.520833333336</v>
      </c>
      <c r="R12" s="66"/>
      <c r="S12" s="66">
        <v>45641.999305555553</v>
      </c>
      <c r="T12" s="66">
        <v>45641.999305555553</v>
      </c>
      <c r="U12" s="66"/>
      <c r="V12" s="67"/>
      <c r="W12" s="67">
        <f>(T12-Q12)*24</f>
        <v>35.483333333220799</v>
      </c>
      <c r="X12" s="67"/>
      <c r="Y12" s="67">
        <f t="shared" si="5"/>
        <v>35.483333333220799</v>
      </c>
      <c r="Z12" s="67"/>
      <c r="AA12" s="67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3"/>
      <c r="AU12" s="93"/>
      <c r="AV12" s="93"/>
      <c r="AW12" s="90"/>
      <c r="AX12" s="96"/>
      <c r="AY12" s="90"/>
      <c r="AZ12" s="90"/>
      <c r="BA12" s="90"/>
    </row>
    <row r="13" spans="2:53" x14ac:dyDescent="0.3">
      <c r="B13" s="100"/>
      <c r="C13" s="99"/>
      <c r="D13" s="99"/>
      <c r="E13" s="70" t="s">
        <v>101</v>
      </c>
      <c r="F13" s="71"/>
      <c r="G13" s="71"/>
      <c r="H13" s="71"/>
      <c r="I13" s="71"/>
      <c r="J13" s="71"/>
      <c r="K13" s="71"/>
      <c r="L13" s="71">
        <v>2</v>
      </c>
      <c r="M13" s="71">
        <v>5</v>
      </c>
      <c r="N13" s="71"/>
      <c r="O13" s="71"/>
      <c r="P13" s="71"/>
      <c r="Q13" s="71"/>
      <c r="R13" s="71"/>
      <c r="S13" s="71"/>
      <c r="T13" s="71"/>
      <c r="U13" s="71"/>
      <c r="V13" s="73">
        <f>SUM(V8:V12)</f>
        <v>61.5</v>
      </c>
      <c r="W13" s="73">
        <f t="shared" ref="W13:Y13" si="12">SUM(W8:W12)</f>
        <v>145.98333333316259</v>
      </c>
      <c r="X13" s="73">
        <f t="shared" si="12"/>
        <v>103.21666666661622</v>
      </c>
      <c r="Y13" s="73">
        <f t="shared" si="12"/>
        <v>84.483333333162591</v>
      </c>
      <c r="Z13" s="73">
        <f>SUM(Z8:Z12)</f>
        <v>7.2833333333255723</v>
      </c>
      <c r="AA13" s="74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4"/>
      <c r="AU13" s="94"/>
      <c r="AV13" s="94"/>
      <c r="AW13" s="91"/>
      <c r="AX13" s="97"/>
      <c r="AY13" s="91"/>
      <c r="AZ13" s="91"/>
      <c r="BA13" s="91"/>
    </row>
    <row r="14" spans="2:53" x14ac:dyDescent="0.3">
      <c r="B14" s="100"/>
      <c r="C14" s="99"/>
      <c r="D14" s="99" t="s">
        <v>20</v>
      </c>
      <c r="E14" s="88" t="s">
        <v>104</v>
      </c>
      <c r="F14" s="65">
        <v>174.4</v>
      </c>
      <c r="G14" s="65">
        <v>32000</v>
      </c>
      <c r="H14" s="65"/>
      <c r="I14" s="65" t="s">
        <v>100</v>
      </c>
      <c r="J14" s="65"/>
      <c r="K14" s="65"/>
      <c r="L14" s="65"/>
      <c r="M14" s="65"/>
      <c r="N14" s="65"/>
      <c r="O14" s="69">
        <v>45635</v>
      </c>
      <c r="P14" s="66">
        <v>45638.041666666664</v>
      </c>
      <c r="Q14" s="66">
        <v>45638.999305555553</v>
      </c>
      <c r="R14" s="66"/>
      <c r="S14" s="66">
        <v>45639.5</v>
      </c>
      <c r="T14" s="66">
        <v>45640.479166666664</v>
      </c>
      <c r="U14" s="66"/>
      <c r="V14" s="67"/>
      <c r="W14" s="67">
        <f>(T14-Q14)*24</f>
        <v>35.516666666662786</v>
      </c>
      <c r="X14" s="67"/>
      <c r="Y14" s="67">
        <f t="shared" si="5"/>
        <v>35.516666666662786</v>
      </c>
      <c r="Z14" s="67">
        <f t="shared" si="5"/>
        <v>-35.516666666662786</v>
      </c>
      <c r="AA14" s="67"/>
      <c r="AB14" s="89">
        <v>0</v>
      </c>
      <c r="AC14" s="98">
        <f>V15</f>
        <v>0</v>
      </c>
      <c r="AD14" s="98">
        <f t="shared" ref="AD14:AE14" si="13">W15</f>
        <v>35.516666666662786</v>
      </c>
      <c r="AE14" s="98">
        <f t="shared" si="13"/>
        <v>0</v>
      </c>
      <c r="AF14" s="89">
        <f>AD14-AC14</f>
        <v>35.516666666662786</v>
      </c>
      <c r="AG14" s="89">
        <v>0</v>
      </c>
      <c r="AH14" s="89">
        <v>192</v>
      </c>
      <c r="AI14" s="89">
        <f>ROUNDUP(AC14/8,)</f>
        <v>0</v>
      </c>
      <c r="AJ14" s="89">
        <f t="shared" ref="AJ14:AK14" si="14">ROUNDUP(AD14/8,)</f>
        <v>5</v>
      </c>
      <c r="AK14" s="89">
        <f t="shared" si="14"/>
        <v>0</v>
      </c>
      <c r="AL14" s="89">
        <f>AJ14-AI14</f>
        <v>5</v>
      </c>
      <c r="AM14" s="89">
        <v>0</v>
      </c>
      <c r="AN14" s="89">
        <f>AH14/8</f>
        <v>24</v>
      </c>
      <c r="AO14" s="98">
        <f>$AH$14-AC14</f>
        <v>192</v>
      </c>
      <c r="AP14" s="98">
        <f t="shared" ref="AP14:AQ14" si="15">$AH$14-AD14</f>
        <v>156.48333333333721</v>
      </c>
      <c r="AQ14" s="98">
        <f t="shared" si="15"/>
        <v>192</v>
      </c>
      <c r="AR14" s="89">
        <f>AP14-AO14</f>
        <v>-35.516666666662786</v>
      </c>
      <c r="AS14" s="89">
        <f>AP14-AQ14</f>
        <v>-35.516666666662786</v>
      </c>
      <c r="AT14" s="92">
        <f>AC14/$AH$14</f>
        <v>0</v>
      </c>
      <c r="AU14" s="92">
        <f t="shared" ref="AU14:AV14" si="16">AD14/$AH$14</f>
        <v>0.18498263888886868</v>
      </c>
      <c r="AV14" s="92">
        <f t="shared" si="16"/>
        <v>0</v>
      </c>
      <c r="AW14" s="95">
        <f>AU14-AT14</f>
        <v>0.18498263888886868</v>
      </c>
      <c r="AX14" s="95">
        <f>AU14-AV14</f>
        <v>0.18498263888886868</v>
      </c>
      <c r="AY14" s="89">
        <v>0</v>
      </c>
      <c r="AZ14" s="89">
        <v>0</v>
      </c>
      <c r="BA14" s="89">
        <v>1</v>
      </c>
    </row>
    <row r="15" spans="2:53" x14ac:dyDescent="0.3">
      <c r="B15" s="100"/>
      <c r="C15" s="99"/>
      <c r="D15" s="99"/>
      <c r="E15" s="70" t="s">
        <v>101</v>
      </c>
      <c r="F15" s="71"/>
      <c r="G15" s="71"/>
      <c r="H15" s="71"/>
      <c r="I15" s="71"/>
      <c r="J15" s="71"/>
      <c r="K15" s="71"/>
      <c r="L15" s="71">
        <v>0</v>
      </c>
      <c r="M15" s="71">
        <v>1</v>
      </c>
      <c r="N15" s="71"/>
      <c r="O15" s="71"/>
      <c r="P15" s="71"/>
      <c r="Q15" s="71"/>
      <c r="R15" s="71"/>
      <c r="S15" s="71"/>
      <c r="T15" s="71"/>
      <c r="U15" s="71"/>
      <c r="V15" s="73">
        <f>V14</f>
        <v>0</v>
      </c>
      <c r="W15" s="73">
        <f t="shared" ref="W15:Z15" si="17">W14</f>
        <v>35.516666666662786</v>
      </c>
      <c r="X15" s="73"/>
      <c r="Y15" s="73">
        <f t="shared" si="17"/>
        <v>35.516666666662786</v>
      </c>
      <c r="Z15" s="73">
        <f t="shared" si="17"/>
        <v>-35.516666666662786</v>
      </c>
      <c r="AA15" s="74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4"/>
      <c r="AU15" s="94"/>
      <c r="AV15" s="94"/>
      <c r="AW15" s="91"/>
      <c r="AX15" s="97"/>
      <c r="AY15" s="91"/>
      <c r="AZ15" s="91"/>
      <c r="BA15" s="91"/>
    </row>
    <row r="16" spans="2:53" x14ac:dyDescent="0.3">
      <c r="B16" s="100"/>
      <c r="C16" s="99"/>
      <c r="D16" s="64"/>
      <c r="E16" s="75" t="s">
        <v>105</v>
      </c>
      <c r="F16" s="76"/>
      <c r="G16" s="76"/>
      <c r="H16" s="76"/>
      <c r="I16" s="76"/>
      <c r="J16" s="76"/>
      <c r="K16" s="76"/>
      <c r="L16" s="76">
        <v>4</v>
      </c>
      <c r="M16" s="76">
        <v>10</v>
      </c>
      <c r="N16" s="76"/>
      <c r="O16" s="76"/>
      <c r="P16" s="76"/>
      <c r="Q16" s="76"/>
      <c r="R16" s="76"/>
      <c r="S16" s="76"/>
      <c r="T16" s="76"/>
      <c r="U16" s="76"/>
      <c r="V16" s="77">
        <f>V7+V13+V15</f>
        <v>161.49999999994179</v>
      </c>
      <c r="W16" s="77">
        <f t="shared" ref="W16:Y16" si="18">W7+W13+W15</f>
        <v>346.9666666664416</v>
      </c>
      <c r="X16" s="77">
        <f t="shared" si="18"/>
        <v>280.76666666648816</v>
      </c>
      <c r="Y16" s="77">
        <f t="shared" si="18"/>
        <v>185.4666666664998</v>
      </c>
      <c r="Z16" s="77">
        <f>Z7+Z13+Z15</f>
        <v>-40.316666666592937</v>
      </c>
      <c r="AA16" s="78"/>
      <c r="AB16" s="79">
        <f>SUM(AB3:AB15)</f>
        <v>1</v>
      </c>
      <c r="AC16" s="79">
        <f t="shared" ref="AC16:BA16" si="19">SUM(AC3:AC15)</f>
        <v>161.49999999994179</v>
      </c>
      <c r="AD16" s="79">
        <f t="shared" si="19"/>
        <v>346.9666666664416</v>
      </c>
      <c r="AE16" s="79">
        <f t="shared" si="19"/>
        <v>280.76666666648816</v>
      </c>
      <c r="AF16" s="79">
        <f t="shared" si="19"/>
        <v>185.4666666664998</v>
      </c>
      <c r="AG16" s="79">
        <f>SUM(AG3:AG15)</f>
        <v>30.683333333290648</v>
      </c>
      <c r="AH16" s="79">
        <f t="shared" si="19"/>
        <v>576</v>
      </c>
      <c r="AI16" s="79">
        <f t="shared" si="19"/>
        <v>21</v>
      </c>
      <c r="AJ16" s="79">
        <f t="shared" si="19"/>
        <v>45</v>
      </c>
      <c r="AK16" s="79">
        <f>SUM(AK3:AK15)</f>
        <v>36</v>
      </c>
      <c r="AL16" s="79">
        <f t="shared" si="19"/>
        <v>24</v>
      </c>
      <c r="AM16" s="79">
        <f t="shared" si="19"/>
        <v>4</v>
      </c>
      <c r="AN16" s="79">
        <f t="shared" si="19"/>
        <v>72</v>
      </c>
      <c r="AO16" s="79">
        <f t="shared" si="19"/>
        <v>414.50000000005821</v>
      </c>
      <c r="AP16" s="79">
        <f t="shared" si="19"/>
        <v>229.0333333335584</v>
      </c>
      <c r="AQ16" s="79">
        <f t="shared" si="19"/>
        <v>295.23333333351184</v>
      </c>
      <c r="AR16" s="79">
        <f t="shared" si="19"/>
        <v>-185.4666666664998</v>
      </c>
      <c r="AS16" s="79">
        <f>SUM(AS3:AS15)</f>
        <v>-66.199999999953434</v>
      </c>
      <c r="AT16" s="80">
        <f>AC16/$AH$16</f>
        <v>0.28038194444434339</v>
      </c>
      <c r="AU16" s="80">
        <f>AD16/$AH$16</f>
        <v>0.60237268518479448</v>
      </c>
      <c r="AV16" s="80">
        <f>AE16/$AH$16</f>
        <v>0.48744212962931971</v>
      </c>
      <c r="AW16" s="80">
        <f>AU16-AT16</f>
        <v>0.32199074074045109</v>
      </c>
      <c r="AX16" s="80">
        <f>AU16-AV16</f>
        <v>0.11493055555547477</v>
      </c>
      <c r="AY16" s="79">
        <f t="shared" si="19"/>
        <v>0</v>
      </c>
      <c r="AZ16" s="79">
        <f t="shared" si="19"/>
        <v>5</v>
      </c>
      <c r="BA16" s="79">
        <f t="shared" si="19"/>
        <v>1</v>
      </c>
    </row>
    <row r="17" spans="2:53" x14ac:dyDescent="0.3">
      <c r="B17" s="100"/>
      <c r="C17" s="99" t="s">
        <v>106</v>
      </c>
      <c r="D17" s="99" t="s">
        <v>23</v>
      </c>
      <c r="E17" s="65" t="s">
        <v>21</v>
      </c>
      <c r="F17" s="65">
        <v>272.02</v>
      </c>
      <c r="G17" s="65">
        <v>1000</v>
      </c>
      <c r="H17" s="65" t="s">
        <v>100</v>
      </c>
      <c r="I17" s="65"/>
      <c r="J17" s="65"/>
      <c r="K17" s="65"/>
      <c r="L17" s="65"/>
      <c r="M17" s="65"/>
      <c r="N17" s="65"/>
      <c r="O17" s="65"/>
      <c r="P17" s="66">
        <v>45634.384027777778</v>
      </c>
      <c r="Q17" s="66">
        <v>45634.384027777778</v>
      </c>
      <c r="R17" s="66">
        <v>45634.384027777778</v>
      </c>
      <c r="S17" s="66">
        <v>45635.5</v>
      </c>
      <c r="T17" s="66">
        <v>45635.239583333336</v>
      </c>
      <c r="U17" s="66">
        <v>45635.5</v>
      </c>
      <c r="V17" s="67">
        <f>(S17-P17)*24</f>
        <v>26.783333333325572</v>
      </c>
      <c r="W17" s="67">
        <f>(T17-Q17)*24</f>
        <v>20.53333333338378</v>
      </c>
      <c r="X17" s="67">
        <f>(U17-R17)*24</f>
        <v>26.783333333325572</v>
      </c>
      <c r="Y17" s="67">
        <f t="shared" si="5"/>
        <v>-6.2499999999417923</v>
      </c>
      <c r="Z17" s="67">
        <f t="shared" ref="Z17:Z19" si="20">W17-X17</f>
        <v>-6.2499999999417923</v>
      </c>
      <c r="AA17" s="67" t="s">
        <v>100</v>
      </c>
      <c r="AB17" s="89">
        <v>4</v>
      </c>
      <c r="AC17" s="98">
        <f>V22</f>
        <v>72.033333333267365</v>
      </c>
      <c r="AD17" s="98">
        <f t="shared" ref="AD17:AE17" si="21">W22</f>
        <v>162.66666666656965</v>
      </c>
      <c r="AE17" s="98">
        <f t="shared" si="21"/>
        <v>93.366666666639503</v>
      </c>
      <c r="AF17" s="89">
        <f>AD17-AC17</f>
        <v>90.633333333302289</v>
      </c>
      <c r="AG17" s="89">
        <f>AD17-AE17</f>
        <v>69.299999999930151</v>
      </c>
      <c r="AH17" s="89">
        <v>192</v>
      </c>
      <c r="AI17" s="89">
        <f>ROUNDUP(AC17/8,)</f>
        <v>10</v>
      </c>
      <c r="AJ17" s="89">
        <f t="shared" ref="AJ17:AK17" si="22">ROUNDUP(AD17/8,)</f>
        <v>21</v>
      </c>
      <c r="AK17" s="89">
        <f t="shared" si="22"/>
        <v>12</v>
      </c>
      <c r="AL17" s="89">
        <f>AJ17-AI17</f>
        <v>11</v>
      </c>
      <c r="AM17" s="89">
        <f>AJ17-AK17</f>
        <v>9</v>
      </c>
      <c r="AN17" s="89">
        <f>AH17/8</f>
        <v>24</v>
      </c>
      <c r="AO17" s="98">
        <f>$AH$17-AC17</f>
        <v>119.96666666673264</v>
      </c>
      <c r="AP17" s="98">
        <f t="shared" ref="AP17:AQ17" si="23">$AH$17-AD17</f>
        <v>29.333333333430346</v>
      </c>
      <c r="AQ17" s="98">
        <f t="shared" si="23"/>
        <v>98.633333333360497</v>
      </c>
      <c r="AR17" s="89">
        <f>AP17-AO17</f>
        <v>-90.633333333302289</v>
      </c>
      <c r="AS17" s="89">
        <f>AP17-AQ17</f>
        <v>-69.299999999930151</v>
      </c>
      <c r="AT17" s="92">
        <f>AC17/$AH$17</f>
        <v>0.37517361111076752</v>
      </c>
      <c r="AU17" s="92">
        <f t="shared" ref="AU17:AV17" si="24">AD17/$AH$17</f>
        <v>0.84722222222171695</v>
      </c>
      <c r="AV17" s="92">
        <f t="shared" si="24"/>
        <v>0.48628472222208075</v>
      </c>
      <c r="AW17" s="95">
        <f>AU17-AT17</f>
        <v>0.47204861111094942</v>
      </c>
      <c r="AX17" s="95">
        <f>AU17-AV17</f>
        <v>0.3609374999996362</v>
      </c>
      <c r="AY17" s="89">
        <v>1</v>
      </c>
      <c r="AZ17" s="89">
        <v>2</v>
      </c>
      <c r="BA17" s="89">
        <v>1</v>
      </c>
    </row>
    <row r="18" spans="2:53" x14ac:dyDescent="0.3">
      <c r="B18" s="100"/>
      <c r="C18" s="99"/>
      <c r="D18" s="99"/>
      <c r="E18" s="65" t="s">
        <v>22</v>
      </c>
      <c r="F18" s="65">
        <v>260.02999999999997</v>
      </c>
      <c r="G18" s="65">
        <v>1000</v>
      </c>
      <c r="H18" s="65" t="s">
        <v>107</v>
      </c>
      <c r="I18" s="65"/>
      <c r="J18" s="65"/>
      <c r="K18" s="65"/>
      <c r="L18" s="65"/>
      <c r="M18" s="65"/>
      <c r="N18" s="65"/>
      <c r="O18" s="69">
        <v>45635</v>
      </c>
      <c r="P18" s="66">
        <v>45635.28125</v>
      </c>
      <c r="Q18" s="66">
        <v>45635.28125</v>
      </c>
      <c r="R18" s="66">
        <v>45635.28125</v>
      </c>
      <c r="S18" s="66">
        <v>45637.166666666664</v>
      </c>
      <c r="T18" s="66">
        <v>45636.999305555553</v>
      </c>
      <c r="U18" s="66">
        <v>45637.166666666664</v>
      </c>
      <c r="V18" s="67">
        <f>(S18-P18)*24</f>
        <v>45.249999999941792</v>
      </c>
      <c r="W18" s="67">
        <f>(T18-Q18)*24</f>
        <v>41.233333333279006</v>
      </c>
      <c r="X18" s="67">
        <f t="shared" ref="X18:X19" si="25">(U18-R18)*24</f>
        <v>45.249999999941792</v>
      </c>
      <c r="Y18" s="67">
        <f t="shared" si="5"/>
        <v>-4.0166666666627862</v>
      </c>
      <c r="Z18" s="67">
        <f t="shared" si="20"/>
        <v>-4.0166666666627862</v>
      </c>
      <c r="AA18" s="67" t="s">
        <v>100</v>
      </c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3"/>
      <c r="AU18" s="93"/>
      <c r="AV18" s="93"/>
      <c r="AW18" s="90"/>
      <c r="AX18" s="96"/>
      <c r="AY18" s="90"/>
      <c r="AZ18" s="90"/>
      <c r="BA18" s="90"/>
    </row>
    <row r="19" spans="2:53" x14ac:dyDescent="0.3">
      <c r="B19" s="100"/>
      <c r="C19" s="99"/>
      <c r="D19" s="99"/>
      <c r="E19" s="65" t="s">
        <v>31</v>
      </c>
      <c r="F19" s="65">
        <v>230</v>
      </c>
      <c r="G19" s="65">
        <v>750</v>
      </c>
      <c r="H19" s="65"/>
      <c r="I19" s="65"/>
      <c r="J19" s="65" t="s">
        <v>100</v>
      </c>
      <c r="K19" s="65"/>
      <c r="L19" s="65"/>
      <c r="M19" s="65"/>
      <c r="N19" s="65"/>
      <c r="O19" s="69">
        <v>45635</v>
      </c>
      <c r="P19" s="66">
        <v>45637.291666666664</v>
      </c>
      <c r="Q19" s="66">
        <v>45637.291666666664</v>
      </c>
      <c r="R19" s="66">
        <v>45637.25</v>
      </c>
      <c r="S19" s="66">
        <v>45638.25</v>
      </c>
      <c r="T19" s="66">
        <v>45638.104166666664</v>
      </c>
      <c r="U19" s="66">
        <v>45638.138888888891</v>
      </c>
      <c r="V19" s="67"/>
      <c r="W19" s="67">
        <f>(T19-Q19)*24</f>
        <v>19.5</v>
      </c>
      <c r="X19" s="67">
        <f t="shared" si="25"/>
        <v>21.333333333372138</v>
      </c>
      <c r="Y19" s="67">
        <f t="shared" si="5"/>
        <v>19.5</v>
      </c>
      <c r="Z19" s="67">
        <f t="shared" si="20"/>
        <v>-1.8333333333721384</v>
      </c>
      <c r="AA19" s="67" t="s">
        <v>100</v>
      </c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3"/>
      <c r="AU19" s="93"/>
      <c r="AV19" s="93"/>
      <c r="AW19" s="90"/>
      <c r="AX19" s="96"/>
      <c r="AY19" s="90"/>
      <c r="AZ19" s="90"/>
      <c r="BA19" s="90"/>
    </row>
    <row r="20" spans="2:53" ht="14.4" customHeight="1" x14ac:dyDescent="0.3">
      <c r="B20" s="100"/>
      <c r="C20" s="99"/>
      <c r="D20" s="99"/>
      <c r="E20" s="65" t="s">
        <v>108</v>
      </c>
      <c r="F20" s="65"/>
      <c r="G20" s="65"/>
      <c r="H20" s="65"/>
      <c r="I20" s="65"/>
      <c r="J20" s="65"/>
      <c r="K20" s="65" t="s">
        <v>100</v>
      </c>
      <c r="L20" s="65"/>
      <c r="M20" s="65"/>
      <c r="N20" s="69">
        <v>45635</v>
      </c>
      <c r="O20" s="69">
        <v>45635</v>
      </c>
      <c r="P20" s="66">
        <v>45638.458333333336</v>
      </c>
      <c r="Q20" s="66">
        <v>45638.5</v>
      </c>
      <c r="R20" s="66"/>
      <c r="S20" s="66">
        <v>45639.958333333336</v>
      </c>
      <c r="T20" s="66">
        <v>45640.166666666664</v>
      </c>
      <c r="U20" s="66"/>
      <c r="V20" s="67"/>
      <c r="W20" s="67">
        <f>(T20-Q20)*24</f>
        <v>39.999999999941792</v>
      </c>
      <c r="X20" s="67"/>
      <c r="Y20" s="67">
        <f t="shared" si="5"/>
        <v>39.999999999941792</v>
      </c>
      <c r="Z20" s="67"/>
      <c r="AA20" s="67" t="s">
        <v>100</v>
      </c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3"/>
      <c r="AU20" s="93"/>
      <c r="AV20" s="93"/>
      <c r="AW20" s="90"/>
      <c r="AX20" s="96"/>
      <c r="AY20" s="90"/>
      <c r="AZ20" s="90"/>
      <c r="BA20" s="90"/>
    </row>
    <row r="21" spans="2:53" ht="14.4" customHeight="1" x14ac:dyDescent="0.3">
      <c r="B21" s="100"/>
      <c r="C21" s="99"/>
      <c r="D21" s="99"/>
      <c r="E21" s="88" t="s">
        <v>109</v>
      </c>
      <c r="F21" s="65">
        <v>179.95</v>
      </c>
      <c r="G21" s="65">
        <v>37000</v>
      </c>
      <c r="H21" s="65"/>
      <c r="I21" s="65" t="s">
        <v>100</v>
      </c>
      <c r="J21" s="65"/>
      <c r="K21" s="65"/>
      <c r="L21" s="65"/>
      <c r="M21" s="65"/>
      <c r="N21" s="65"/>
      <c r="O21" s="69">
        <v>45637</v>
      </c>
      <c r="P21" s="66">
        <v>45640.083333333336</v>
      </c>
      <c r="Q21" s="66">
        <v>45640.274305555555</v>
      </c>
      <c r="R21" s="66"/>
      <c r="S21" s="66">
        <v>45641.999305555553</v>
      </c>
      <c r="T21" s="66">
        <v>45641.999305555553</v>
      </c>
      <c r="U21" s="66"/>
      <c r="V21" s="67"/>
      <c r="W21" s="67">
        <f>(T21-Q21)*24</f>
        <v>41.399999999965075</v>
      </c>
      <c r="X21" s="67"/>
      <c r="Y21" s="67">
        <f t="shared" si="5"/>
        <v>41.399999999965075</v>
      </c>
      <c r="Z21" s="67"/>
      <c r="AA21" s="67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3"/>
      <c r="AU21" s="93"/>
      <c r="AV21" s="93"/>
      <c r="AW21" s="90"/>
      <c r="AX21" s="96"/>
      <c r="AY21" s="90"/>
      <c r="AZ21" s="90"/>
      <c r="BA21" s="90"/>
    </row>
    <row r="22" spans="2:53" x14ac:dyDescent="0.3">
      <c r="B22" s="100"/>
      <c r="C22" s="99"/>
      <c r="D22" s="99"/>
      <c r="E22" s="70" t="s">
        <v>101</v>
      </c>
      <c r="F22" s="71"/>
      <c r="G22" s="71"/>
      <c r="H22" s="71"/>
      <c r="I22" s="71"/>
      <c r="J22" s="71"/>
      <c r="K22" s="71"/>
      <c r="L22" s="71">
        <v>2</v>
      </c>
      <c r="M22" s="71">
        <v>5</v>
      </c>
      <c r="N22" s="71"/>
      <c r="O22" s="71"/>
      <c r="P22" s="71"/>
      <c r="Q22" s="71"/>
      <c r="R22" s="71"/>
      <c r="S22" s="71"/>
      <c r="T22" s="71"/>
      <c r="U22" s="71"/>
      <c r="V22" s="73">
        <f>SUM(V17:V21)</f>
        <v>72.033333333267365</v>
      </c>
      <c r="W22" s="73">
        <f t="shared" ref="W22:Z22" si="26">SUM(W17:W21)</f>
        <v>162.66666666656965</v>
      </c>
      <c r="X22" s="73">
        <f t="shared" si="26"/>
        <v>93.366666666639503</v>
      </c>
      <c r="Y22" s="73">
        <f t="shared" si="26"/>
        <v>90.633333333302289</v>
      </c>
      <c r="Z22" s="73">
        <f t="shared" si="26"/>
        <v>-12.099999999976717</v>
      </c>
      <c r="AA22" s="74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4"/>
      <c r="AU22" s="94"/>
      <c r="AV22" s="94"/>
      <c r="AW22" s="91"/>
      <c r="AX22" s="97"/>
      <c r="AY22" s="91"/>
      <c r="AZ22" s="91"/>
      <c r="BA22" s="91"/>
    </row>
    <row r="23" spans="2:53" x14ac:dyDescent="0.3">
      <c r="B23" s="100"/>
      <c r="C23" s="99"/>
      <c r="D23" s="99" t="s">
        <v>26</v>
      </c>
      <c r="E23" s="65" t="s">
        <v>24</v>
      </c>
      <c r="F23" s="65">
        <v>199.94</v>
      </c>
      <c r="G23" s="65">
        <v>1709</v>
      </c>
      <c r="H23" s="65" t="s">
        <v>102</v>
      </c>
      <c r="I23" s="65"/>
      <c r="J23" s="65"/>
      <c r="K23" s="65"/>
      <c r="L23" s="65"/>
      <c r="M23" s="65"/>
      <c r="N23" s="65"/>
      <c r="O23" s="65"/>
      <c r="P23" s="66">
        <v>45634.432638888888</v>
      </c>
      <c r="Q23" s="66">
        <v>45634.432638888888</v>
      </c>
      <c r="R23" s="66">
        <v>45634.432638888888</v>
      </c>
      <c r="S23" s="66">
        <v>45635.208333333336</v>
      </c>
      <c r="T23" s="66">
        <v>45635.208333333336</v>
      </c>
      <c r="U23" s="66">
        <v>45635.208333333336</v>
      </c>
      <c r="V23" s="67">
        <f>(S23-P23)*24</f>
        <v>18.616666666755918</v>
      </c>
      <c r="W23" s="67">
        <f>(T23-Q23)*24</f>
        <v>18.616666666755918</v>
      </c>
      <c r="X23" s="67">
        <f>(U23-R23)*24</f>
        <v>18.616666666755918</v>
      </c>
      <c r="Y23" s="67">
        <f t="shared" si="5"/>
        <v>0</v>
      </c>
      <c r="Z23" s="67">
        <f>W23-X23</f>
        <v>0</v>
      </c>
      <c r="AA23" s="67" t="s">
        <v>100</v>
      </c>
      <c r="AB23" s="89">
        <v>2</v>
      </c>
      <c r="AC23" s="98">
        <f>V27</f>
        <v>56.616666666639503</v>
      </c>
      <c r="AD23" s="98">
        <f t="shared" ref="AD23:AE23" si="27">W27</f>
        <v>170.60000000009313</v>
      </c>
      <c r="AE23" s="98">
        <f t="shared" si="27"/>
        <v>114.16666666668607</v>
      </c>
      <c r="AF23" s="89">
        <f>AD23-AC23</f>
        <v>113.98333333345363</v>
      </c>
      <c r="AG23" s="89">
        <f>AD23-AE23</f>
        <v>56.433333333407063</v>
      </c>
      <c r="AH23" s="89">
        <v>192</v>
      </c>
      <c r="AI23" s="89">
        <f>ROUNDUP(AC23/8,)</f>
        <v>8</v>
      </c>
      <c r="AJ23" s="89">
        <f>ROUNDUP(AD23/8,)</f>
        <v>22</v>
      </c>
      <c r="AK23" s="89">
        <f t="shared" ref="AK23" si="28">ROUNDUP(AE23/8,)</f>
        <v>15</v>
      </c>
      <c r="AL23" s="89">
        <f>AJ23-AI23</f>
        <v>14</v>
      </c>
      <c r="AM23" s="89">
        <f>AJ23-AK23</f>
        <v>7</v>
      </c>
      <c r="AN23" s="89">
        <f>AH23/8</f>
        <v>24</v>
      </c>
      <c r="AO23" s="98">
        <f>$AH$23-AC23</f>
        <v>135.3833333333605</v>
      </c>
      <c r="AP23" s="98">
        <f t="shared" ref="AP23:AQ23" si="29">$AH$23-AD23</f>
        <v>21.399999999906868</v>
      </c>
      <c r="AQ23" s="98">
        <f t="shared" si="29"/>
        <v>77.833333333313931</v>
      </c>
      <c r="AR23" s="89">
        <f>AP23-AO23</f>
        <v>-113.98333333345363</v>
      </c>
      <c r="AS23" s="89">
        <f>AP23-AQ23</f>
        <v>-56.433333333407063</v>
      </c>
      <c r="AT23" s="92">
        <f>AC23/$AH$23</f>
        <v>0.29487847222208075</v>
      </c>
      <c r="AU23" s="92">
        <f t="shared" ref="AU23:AV23" si="30">AD23/$AH$23</f>
        <v>0.88854166666715173</v>
      </c>
      <c r="AV23" s="92">
        <f t="shared" si="30"/>
        <v>0.59461805555565661</v>
      </c>
      <c r="AW23" s="95">
        <f>AU23-AT23</f>
        <v>0.59366319444507099</v>
      </c>
      <c r="AX23" s="95">
        <f>AU23-AV23</f>
        <v>0.29392361111149512</v>
      </c>
      <c r="AY23" s="89">
        <v>1</v>
      </c>
      <c r="AZ23" s="89">
        <v>1</v>
      </c>
      <c r="BA23" s="89">
        <v>1</v>
      </c>
    </row>
    <row r="24" spans="2:53" x14ac:dyDescent="0.3">
      <c r="B24" s="100"/>
      <c r="C24" s="99"/>
      <c r="D24" s="99"/>
      <c r="E24" s="65" t="s">
        <v>25</v>
      </c>
      <c r="F24" s="65">
        <v>272.26</v>
      </c>
      <c r="G24" s="65">
        <v>1750</v>
      </c>
      <c r="H24" s="65" t="s">
        <v>107</v>
      </c>
      <c r="I24" s="65"/>
      <c r="J24" s="65"/>
      <c r="K24" s="65"/>
      <c r="L24" s="65"/>
      <c r="M24" s="65"/>
      <c r="N24" s="65"/>
      <c r="O24" s="69">
        <v>45635</v>
      </c>
      <c r="P24" s="66">
        <v>45635.583333333336</v>
      </c>
      <c r="Q24" s="66">
        <v>45635.583333333336</v>
      </c>
      <c r="R24" s="66">
        <v>45635.583333333336</v>
      </c>
      <c r="S24" s="66">
        <v>45637.166666666664</v>
      </c>
      <c r="T24" s="66">
        <v>45637.333333333336</v>
      </c>
      <c r="U24" s="66">
        <v>45637.166666666664</v>
      </c>
      <c r="V24" s="67">
        <f>(S24-P24)*24</f>
        <v>37.999999999883585</v>
      </c>
      <c r="W24" s="67">
        <f>(T24-Q24)*24</f>
        <v>42</v>
      </c>
      <c r="X24" s="67">
        <f t="shared" ref="X24:X25" si="31">(U24-R24)*24</f>
        <v>37.999999999883585</v>
      </c>
      <c r="Y24" s="67">
        <f t="shared" si="5"/>
        <v>4.0000000001164153</v>
      </c>
      <c r="Z24" s="67">
        <f t="shared" ref="Z24:Z26" si="32">W24-X24</f>
        <v>4.0000000001164153</v>
      </c>
      <c r="AA24" s="67" t="s">
        <v>100</v>
      </c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3"/>
      <c r="AU24" s="93"/>
      <c r="AV24" s="93"/>
      <c r="AW24" s="90"/>
      <c r="AX24" s="96"/>
      <c r="AY24" s="90"/>
      <c r="AZ24" s="90"/>
      <c r="BA24" s="90"/>
    </row>
    <row r="25" spans="2:53" x14ac:dyDescent="0.3">
      <c r="B25" s="100"/>
      <c r="C25" s="99"/>
      <c r="D25" s="99"/>
      <c r="E25" s="65" t="s">
        <v>32</v>
      </c>
      <c r="F25" s="65">
        <v>333.2</v>
      </c>
      <c r="G25" s="65">
        <v>3500</v>
      </c>
      <c r="H25" s="65"/>
      <c r="I25" s="65"/>
      <c r="J25" s="65" t="s">
        <v>100</v>
      </c>
      <c r="K25" s="65"/>
      <c r="L25" s="65"/>
      <c r="M25" s="65"/>
      <c r="N25" s="65"/>
      <c r="O25" s="69">
        <v>45635</v>
      </c>
      <c r="P25" s="66">
        <v>45637.25</v>
      </c>
      <c r="Q25" s="66">
        <v>45637.375</v>
      </c>
      <c r="R25" s="66">
        <v>45637.208333333336</v>
      </c>
      <c r="S25" s="66">
        <v>45639.999305555553</v>
      </c>
      <c r="T25" s="66">
        <v>45640.083333333336</v>
      </c>
      <c r="U25" s="66">
        <v>45639.606250000004</v>
      </c>
      <c r="V25" s="67"/>
      <c r="W25" s="67">
        <f>(T25-Q25)*24</f>
        <v>65.000000000058208</v>
      </c>
      <c r="X25" s="67">
        <f t="shared" si="31"/>
        <v>57.550000000046566</v>
      </c>
      <c r="Y25" s="67">
        <f t="shared" si="5"/>
        <v>65.000000000058208</v>
      </c>
      <c r="Z25" s="67">
        <f t="shared" si="32"/>
        <v>7.4500000000116415</v>
      </c>
      <c r="AA25" s="67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3"/>
      <c r="AU25" s="93"/>
      <c r="AV25" s="93"/>
      <c r="AW25" s="90"/>
      <c r="AX25" s="96"/>
      <c r="AY25" s="90"/>
      <c r="AZ25" s="90"/>
      <c r="BA25" s="90"/>
    </row>
    <row r="26" spans="2:53" x14ac:dyDescent="0.3">
      <c r="B26" s="100"/>
      <c r="C26" s="99"/>
      <c r="D26" s="99"/>
      <c r="E26" s="88" t="s">
        <v>29</v>
      </c>
      <c r="F26" s="65">
        <v>199.98</v>
      </c>
      <c r="G26" s="65">
        <v>10800</v>
      </c>
      <c r="H26" s="65"/>
      <c r="I26" s="65" t="s">
        <v>100</v>
      </c>
      <c r="J26" s="65"/>
      <c r="K26" s="65"/>
      <c r="L26" s="65"/>
      <c r="M26" s="65"/>
      <c r="N26" s="65"/>
      <c r="O26" s="69">
        <v>45637</v>
      </c>
      <c r="P26" s="66">
        <v>45639.999305555553</v>
      </c>
      <c r="Q26" s="66">
        <v>45640.125</v>
      </c>
      <c r="R26" s="66"/>
      <c r="S26" s="66">
        <v>45641.999305555553</v>
      </c>
      <c r="T26" s="66">
        <v>45641.999305555553</v>
      </c>
      <c r="U26" s="66"/>
      <c r="V26" s="67"/>
      <c r="W26" s="67">
        <f>(T26-Q26)*24</f>
        <v>44.983333333279006</v>
      </c>
      <c r="X26" s="67"/>
      <c r="Y26" s="67">
        <f t="shared" si="5"/>
        <v>44.983333333279006</v>
      </c>
      <c r="Z26" s="67">
        <f t="shared" si="32"/>
        <v>44.983333333279006</v>
      </c>
      <c r="AA26" s="67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3"/>
      <c r="AU26" s="93"/>
      <c r="AV26" s="93"/>
      <c r="AW26" s="90"/>
      <c r="AX26" s="96"/>
      <c r="AY26" s="90"/>
      <c r="AZ26" s="90"/>
      <c r="BA26" s="90"/>
    </row>
    <row r="27" spans="2:53" x14ac:dyDescent="0.3">
      <c r="B27" s="100"/>
      <c r="C27" s="99"/>
      <c r="D27" s="99"/>
      <c r="E27" s="70" t="s">
        <v>101</v>
      </c>
      <c r="F27" s="71"/>
      <c r="G27" s="71"/>
      <c r="H27" s="71"/>
      <c r="I27" s="71"/>
      <c r="J27" s="71"/>
      <c r="K27" s="71"/>
      <c r="L27" s="71">
        <v>2</v>
      </c>
      <c r="M27" s="71">
        <v>4</v>
      </c>
      <c r="N27" s="71"/>
      <c r="O27" s="71"/>
      <c r="P27" s="71"/>
      <c r="Q27" s="71"/>
      <c r="R27" s="71"/>
      <c r="S27" s="71"/>
      <c r="T27" s="71"/>
      <c r="U27" s="71"/>
      <c r="V27" s="73">
        <f>SUM(V23:V26)</f>
        <v>56.616666666639503</v>
      </c>
      <c r="W27" s="73">
        <f t="shared" ref="W27:Z27" si="33">SUM(W23:W26)</f>
        <v>170.60000000009313</v>
      </c>
      <c r="X27" s="73">
        <f t="shared" si="33"/>
        <v>114.16666666668607</v>
      </c>
      <c r="Y27" s="73">
        <f t="shared" si="33"/>
        <v>113.98333333345363</v>
      </c>
      <c r="Z27" s="73">
        <f t="shared" si="33"/>
        <v>56.433333333407063</v>
      </c>
      <c r="AA27" s="74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4"/>
      <c r="AU27" s="94"/>
      <c r="AV27" s="94"/>
      <c r="AW27" s="91"/>
      <c r="AX27" s="97"/>
      <c r="AY27" s="91"/>
      <c r="AZ27" s="91"/>
      <c r="BA27" s="91"/>
    </row>
    <row r="28" spans="2:53" x14ac:dyDescent="0.3">
      <c r="B28" s="100"/>
      <c r="C28" s="99"/>
      <c r="D28" s="99" t="s">
        <v>28</v>
      </c>
      <c r="E28" s="65" t="s">
        <v>30</v>
      </c>
      <c r="F28" s="65">
        <v>232.29</v>
      </c>
      <c r="G28" s="65">
        <v>1800</v>
      </c>
      <c r="H28" s="65"/>
      <c r="I28" s="65"/>
      <c r="J28" s="65" t="s">
        <v>100</v>
      </c>
      <c r="K28" s="65"/>
      <c r="L28" s="65"/>
      <c r="M28" s="65"/>
      <c r="N28" s="65"/>
      <c r="O28" s="69">
        <v>45635</v>
      </c>
      <c r="P28" s="66">
        <v>45636.875</v>
      </c>
      <c r="Q28" s="66">
        <v>45636.875</v>
      </c>
      <c r="R28" s="66">
        <v>45636.875</v>
      </c>
      <c r="S28" s="66">
        <v>45639.25</v>
      </c>
      <c r="T28" s="66">
        <v>45638.25</v>
      </c>
      <c r="U28" s="66">
        <v>45638.813194444447</v>
      </c>
      <c r="V28" s="67"/>
      <c r="W28" s="67">
        <f>(T28-Q28)*24</f>
        <v>33</v>
      </c>
      <c r="X28" s="67">
        <f>(U28-R28)*24</f>
        <v>46.516666666720994</v>
      </c>
      <c r="Y28" s="67">
        <f t="shared" si="5"/>
        <v>33</v>
      </c>
      <c r="Z28" s="67">
        <f>W28-X28</f>
        <v>-13.516666666720994</v>
      </c>
      <c r="AA28" s="67"/>
      <c r="AB28" s="89">
        <v>0</v>
      </c>
      <c r="AC28" s="98">
        <f>V32</f>
        <v>0</v>
      </c>
      <c r="AD28" s="98">
        <f>W32</f>
        <v>80.483333333220799</v>
      </c>
      <c r="AE28" s="98">
        <f t="shared" ref="AE28" si="34">X32</f>
        <v>117.75000000017462</v>
      </c>
      <c r="AF28" s="89">
        <f>AD28-AC28</f>
        <v>80.483333333220799</v>
      </c>
      <c r="AG28" s="89">
        <f>AD28-AE28</f>
        <v>-37.266666666953824</v>
      </c>
      <c r="AH28" s="89">
        <v>124</v>
      </c>
      <c r="AI28" s="89">
        <f>ROUNDUP(AC28/8,0)</f>
        <v>0</v>
      </c>
      <c r="AJ28" s="89">
        <f>ROUNDUP(AD28/8,0)</f>
        <v>11</v>
      </c>
      <c r="AK28" s="89">
        <f t="shared" ref="AK28" si="35">ROUNDUP(AE28/8,0)</f>
        <v>15</v>
      </c>
      <c r="AL28" s="89">
        <f>AJ28-AI28</f>
        <v>11</v>
      </c>
      <c r="AM28" s="89">
        <f>AJ28-AK28</f>
        <v>-4</v>
      </c>
      <c r="AN28" s="89">
        <f>AH28/8</f>
        <v>15.5</v>
      </c>
      <c r="AO28" s="98">
        <f>$AH$28-AC28</f>
        <v>124</v>
      </c>
      <c r="AP28" s="98">
        <f t="shared" ref="AP28:AQ28" si="36">$AH$28-AD28</f>
        <v>43.516666666779201</v>
      </c>
      <c r="AQ28" s="98">
        <f t="shared" si="36"/>
        <v>6.249999999825377</v>
      </c>
      <c r="AR28" s="89">
        <f>AP28-AO28</f>
        <v>-80.483333333220799</v>
      </c>
      <c r="AS28" s="89">
        <f>AP28-AQ28</f>
        <v>37.266666666953824</v>
      </c>
      <c r="AT28" s="92">
        <f>AC28/$AH$28</f>
        <v>0</v>
      </c>
      <c r="AU28" s="92">
        <f t="shared" ref="AU28:AV28" si="37">AD28/$AH$28</f>
        <v>0.64905913978403873</v>
      </c>
      <c r="AV28" s="92">
        <f t="shared" si="37"/>
        <v>0.94959677419495658</v>
      </c>
      <c r="AW28" s="95">
        <f>AU28-AT28</f>
        <v>0.64905913978403873</v>
      </c>
      <c r="AX28" s="95">
        <f>AU28-AV28</f>
        <v>-0.30053763441091785</v>
      </c>
      <c r="AY28" s="89">
        <v>0</v>
      </c>
      <c r="AZ28" s="89">
        <v>4</v>
      </c>
      <c r="BA28" s="89">
        <v>0</v>
      </c>
    </row>
    <row r="29" spans="2:53" x14ac:dyDescent="0.3">
      <c r="B29" s="100"/>
      <c r="C29" s="99"/>
      <c r="D29" s="99"/>
      <c r="E29" s="65" t="s">
        <v>33</v>
      </c>
      <c r="F29" s="65">
        <v>199.99</v>
      </c>
      <c r="G29" s="65">
        <v>2459</v>
      </c>
      <c r="H29" s="65"/>
      <c r="I29" s="65"/>
      <c r="J29" s="65" t="s">
        <v>100</v>
      </c>
      <c r="K29" s="65"/>
      <c r="L29" s="65"/>
      <c r="M29" s="65"/>
      <c r="N29" s="65"/>
      <c r="O29" s="69">
        <v>45637</v>
      </c>
      <c r="P29" s="66">
        <v>45639.25</v>
      </c>
      <c r="Q29" s="66">
        <v>45639.375</v>
      </c>
      <c r="R29" s="66">
        <v>45638.854166666664</v>
      </c>
      <c r="S29" s="66">
        <v>45640.25</v>
      </c>
      <c r="T29" s="66">
        <v>45640.5625</v>
      </c>
      <c r="U29" s="66">
        <v>45640.179166666669</v>
      </c>
      <c r="V29" s="67"/>
      <c r="W29" s="67">
        <f>(T29-Q29)*24</f>
        <v>28.5</v>
      </c>
      <c r="X29" s="67">
        <f t="shared" ref="X29:X30" si="38">(U29-R29)*24</f>
        <v>31.800000000104774</v>
      </c>
      <c r="Y29" s="67">
        <f t="shared" si="5"/>
        <v>28.5</v>
      </c>
      <c r="Z29" s="67">
        <f>W29-X29</f>
        <v>-3.3000000001047738</v>
      </c>
      <c r="AA29" s="67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3"/>
      <c r="AU29" s="93"/>
      <c r="AV29" s="93"/>
      <c r="AW29" s="90"/>
      <c r="AX29" s="96"/>
      <c r="AY29" s="90"/>
      <c r="AZ29" s="90"/>
      <c r="BA29" s="90"/>
    </row>
    <row r="30" spans="2:53" x14ac:dyDescent="0.3">
      <c r="B30" s="100"/>
      <c r="C30" s="99"/>
      <c r="D30" s="99"/>
      <c r="E30" s="65" t="s">
        <v>37</v>
      </c>
      <c r="F30" s="65">
        <v>232.38</v>
      </c>
      <c r="G30" s="65">
        <v>2000</v>
      </c>
      <c r="H30" s="65"/>
      <c r="I30" s="65"/>
      <c r="J30" s="65" t="s">
        <v>100</v>
      </c>
      <c r="K30" s="65"/>
      <c r="L30" s="65"/>
      <c r="M30" s="65"/>
      <c r="N30" s="65"/>
      <c r="O30" s="69">
        <v>45638</v>
      </c>
      <c r="P30" s="66">
        <v>45640.875</v>
      </c>
      <c r="Q30" s="66">
        <v>45640.875</v>
      </c>
      <c r="R30" s="66">
        <v>45640.635416666664</v>
      </c>
      <c r="S30" s="66">
        <v>45641.541666666664</v>
      </c>
      <c r="T30" s="66">
        <v>45641.541666666664</v>
      </c>
      <c r="U30" s="66">
        <v>45641.905555555553</v>
      </c>
      <c r="V30" s="67"/>
      <c r="W30" s="67">
        <f>(T30-Q30)*24</f>
        <v>15.999999999941792</v>
      </c>
      <c r="X30" s="67">
        <f t="shared" si="38"/>
        <v>30.483333333337214</v>
      </c>
      <c r="Y30" s="67">
        <f t="shared" si="5"/>
        <v>15.999999999941792</v>
      </c>
      <c r="Z30" s="67">
        <f t="shared" ref="Z30:Z31" si="39">W30-X30</f>
        <v>-14.483333333395422</v>
      </c>
      <c r="AA30" s="67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3"/>
      <c r="AU30" s="93"/>
      <c r="AV30" s="93"/>
      <c r="AW30" s="90"/>
      <c r="AX30" s="96"/>
      <c r="AY30" s="90"/>
      <c r="AZ30" s="90"/>
      <c r="BA30" s="90"/>
    </row>
    <row r="31" spans="2:53" x14ac:dyDescent="0.3">
      <c r="B31" s="100"/>
      <c r="C31" s="99"/>
      <c r="D31" s="99"/>
      <c r="E31" s="65" t="s">
        <v>35</v>
      </c>
      <c r="F31" s="65">
        <v>199.1</v>
      </c>
      <c r="G31" s="65">
        <v>1800</v>
      </c>
      <c r="H31" s="65"/>
      <c r="I31" s="65"/>
      <c r="J31" s="65" t="s">
        <v>100</v>
      </c>
      <c r="K31" s="65"/>
      <c r="L31" s="65"/>
      <c r="M31" s="65"/>
      <c r="N31" s="65"/>
      <c r="O31" s="69">
        <v>45639</v>
      </c>
      <c r="P31" s="66">
        <v>45641.875</v>
      </c>
      <c r="Q31" s="66">
        <v>45641.875</v>
      </c>
      <c r="R31" s="66">
        <v>45640.220833333333</v>
      </c>
      <c r="S31" s="66">
        <v>45641.999305555553</v>
      </c>
      <c r="T31" s="66">
        <v>45641.999305555553</v>
      </c>
      <c r="U31" s="66">
        <v>45640.59375</v>
      </c>
      <c r="V31" s="67"/>
      <c r="W31" s="67">
        <f>(T31-Q31)*24</f>
        <v>2.9833333332790062</v>
      </c>
      <c r="X31" s="67">
        <f>(U31-R31)*24</f>
        <v>8.9500000000116415</v>
      </c>
      <c r="Y31" s="67">
        <f t="shared" si="5"/>
        <v>2.9833333332790062</v>
      </c>
      <c r="Z31" s="67">
        <f t="shared" si="39"/>
        <v>-5.9666666667326353</v>
      </c>
      <c r="AA31" s="67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3"/>
      <c r="AU31" s="93"/>
      <c r="AV31" s="93"/>
      <c r="AW31" s="90"/>
      <c r="AX31" s="96"/>
      <c r="AY31" s="90"/>
      <c r="AZ31" s="90"/>
      <c r="BA31" s="90"/>
    </row>
    <row r="32" spans="2:53" x14ac:dyDescent="0.3">
      <c r="B32" s="100"/>
      <c r="C32" s="99"/>
      <c r="D32" s="99"/>
      <c r="E32" s="70" t="s">
        <v>101</v>
      </c>
      <c r="F32" s="71"/>
      <c r="G32" s="71"/>
      <c r="H32" s="71"/>
      <c r="I32" s="71"/>
      <c r="J32" s="71"/>
      <c r="K32" s="71"/>
      <c r="L32" s="71">
        <v>0</v>
      </c>
      <c r="M32" s="71">
        <v>4</v>
      </c>
      <c r="N32" s="71"/>
      <c r="O32" s="71"/>
      <c r="P32" s="71"/>
      <c r="Q32" s="71"/>
      <c r="R32" s="71"/>
      <c r="S32" s="71"/>
      <c r="T32" s="71"/>
      <c r="U32" s="71"/>
      <c r="V32" s="73">
        <f>SUM(V28:V31)</f>
        <v>0</v>
      </c>
      <c r="W32" s="73">
        <f t="shared" ref="W32:Z32" si="40">SUM(W28:W31)</f>
        <v>80.483333333220799</v>
      </c>
      <c r="X32" s="73">
        <f t="shared" si="40"/>
        <v>117.75000000017462</v>
      </c>
      <c r="Y32" s="73">
        <f t="shared" si="40"/>
        <v>80.483333333220799</v>
      </c>
      <c r="Z32" s="73">
        <f t="shared" si="40"/>
        <v>-37.266666666953824</v>
      </c>
      <c r="AA32" s="7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4"/>
      <c r="AU32" s="94"/>
      <c r="AV32" s="94"/>
      <c r="AW32" s="91"/>
      <c r="AX32" s="97"/>
      <c r="AY32" s="91"/>
      <c r="AZ32" s="91"/>
      <c r="BA32" s="91"/>
    </row>
    <row r="33" spans="2:53" x14ac:dyDescent="0.3">
      <c r="B33" s="100"/>
      <c r="C33" s="99"/>
      <c r="D33" s="64"/>
      <c r="E33" s="75" t="s">
        <v>110</v>
      </c>
      <c r="F33" s="76"/>
      <c r="G33" s="76"/>
      <c r="H33" s="76"/>
      <c r="I33" s="76"/>
      <c r="J33" s="76"/>
      <c r="K33" s="76"/>
      <c r="L33" s="76">
        <v>4</v>
      </c>
      <c r="M33" s="76">
        <v>13</v>
      </c>
      <c r="N33" s="76"/>
      <c r="O33" s="76"/>
      <c r="P33" s="76"/>
      <c r="Q33" s="76"/>
      <c r="R33" s="76"/>
      <c r="S33" s="76"/>
      <c r="T33" s="76"/>
      <c r="U33" s="76"/>
      <c r="V33" s="77">
        <f>V22+V27+V32</f>
        <v>128.64999999990687</v>
      </c>
      <c r="W33" s="77">
        <f t="shared" ref="W33:Z33" si="41">W22+W27+W32</f>
        <v>413.74999999988358</v>
      </c>
      <c r="X33" s="77">
        <f t="shared" si="41"/>
        <v>325.2833333335002</v>
      </c>
      <c r="Y33" s="77">
        <f t="shared" si="41"/>
        <v>285.09999999997672</v>
      </c>
      <c r="Z33" s="77">
        <f t="shared" si="41"/>
        <v>7.0666666664765216</v>
      </c>
      <c r="AA33" s="76"/>
      <c r="AB33" s="79">
        <f>SUM(AB17:AB32)</f>
        <v>6</v>
      </c>
      <c r="AC33" s="79">
        <f t="shared" ref="AC33:BA33" si="42">SUM(AC17:AC32)</f>
        <v>128.64999999990687</v>
      </c>
      <c r="AD33" s="79">
        <f t="shared" si="42"/>
        <v>413.74999999988358</v>
      </c>
      <c r="AE33" s="79">
        <f t="shared" si="42"/>
        <v>325.2833333335002</v>
      </c>
      <c r="AF33" s="79">
        <f t="shared" si="42"/>
        <v>285.09999999997672</v>
      </c>
      <c r="AG33" s="79">
        <f t="shared" si="42"/>
        <v>88.466666666383389</v>
      </c>
      <c r="AH33" s="79">
        <f>SUM(AH17:AH32)</f>
        <v>508</v>
      </c>
      <c r="AI33" s="79">
        <f t="shared" si="42"/>
        <v>18</v>
      </c>
      <c r="AJ33" s="79">
        <f t="shared" si="42"/>
        <v>54</v>
      </c>
      <c r="AK33" s="79">
        <f t="shared" si="42"/>
        <v>42</v>
      </c>
      <c r="AL33" s="79">
        <f t="shared" si="42"/>
        <v>36</v>
      </c>
      <c r="AM33" s="79">
        <f>SUM(AM17:AM32)</f>
        <v>12</v>
      </c>
      <c r="AN33" s="79">
        <f t="shared" si="42"/>
        <v>63.5</v>
      </c>
      <c r="AO33" s="79">
        <f t="shared" si="42"/>
        <v>379.35000000009313</v>
      </c>
      <c r="AP33" s="79">
        <f t="shared" si="42"/>
        <v>94.250000000116415</v>
      </c>
      <c r="AQ33" s="79">
        <f t="shared" si="42"/>
        <v>182.7166666664998</v>
      </c>
      <c r="AR33" s="79">
        <f t="shared" si="42"/>
        <v>-285.09999999997672</v>
      </c>
      <c r="AS33" s="79">
        <f t="shared" si="42"/>
        <v>-88.466666666383389</v>
      </c>
      <c r="AT33" s="80">
        <f>AC33/AH33</f>
        <v>0.25324803149587966</v>
      </c>
      <c r="AU33" s="80">
        <f>AD33/AH33</f>
        <v>0.81446850393677872</v>
      </c>
      <c r="AV33" s="80">
        <f>AE33/AH33</f>
        <v>0.6403215223100398</v>
      </c>
      <c r="AW33" s="81">
        <f>AU33-AT33</f>
        <v>0.56122047244089912</v>
      </c>
      <c r="AX33" s="81">
        <f>AU33-AV33</f>
        <v>0.17414698162673892</v>
      </c>
      <c r="AY33" s="79">
        <f t="shared" si="42"/>
        <v>2</v>
      </c>
      <c r="AZ33" s="79">
        <f t="shared" si="42"/>
        <v>7</v>
      </c>
      <c r="BA33" s="79">
        <f t="shared" si="42"/>
        <v>2</v>
      </c>
    </row>
    <row r="34" spans="2:53" ht="28.8" x14ac:dyDescent="0.3">
      <c r="B34" s="100"/>
      <c r="C34" s="99"/>
      <c r="D34" s="64"/>
      <c r="E34" s="82" t="s">
        <v>111</v>
      </c>
      <c r="F34" s="83"/>
      <c r="G34" s="83"/>
      <c r="H34" s="83"/>
      <c r="I34" s="83"/>
      <c r="J34" s="83"/>
      <c r="K34" s="83"/>
      <c r="L34" s="83">
        <f>L33+L16</f>
        <v>8</v>
      </c>
      <c r="M34" s="83">
        <f>M33+M16</f>
        <v>23</v>
      </c>
      <c r="N34" s="83"/>
      <c r="O34" s="83"/>
      <c r="P34" s="83"/>
      <c r="Q34" s="83"/>
      <c r="R34" s="83"/>
      <c r="S34" s="83"/>
      <c r="T34" s="83"/>
      <c r="U34" s="83"/>
      <c r="V34" s="84">
        <f>V16+V33</f>
        <v>290.14999999984866</v>
      </c>
      <c r="W34" s="84">
        <f t="shared" ref="W34:Y34" si="43">W16+W33</f>
        <v>760.71666666632518</v>
      </c>
      <c r="X34" s="84">
        <f t="shared" si="43"/>
        <v>606.04999999998836</v>
      </c>
      <c r="Y34" s="84">
        <f t="shared" si="43"/>
        <v>470.56666666647652</v>
      </c>
      <c r="Z34" s="84">
        <f>Z16+Z33</f>
        <v>-33.250000000116415</v>
      </c>
      <c r="AA34" s="83"/>
      <c r="AB34" s="85">
        <f>AB16+AB33</f>
        <v>7</v>
      </c>
      <c r="AC34" s="85">
        <f t="shared" ref="AC34:BA34" si="44">AC16+AC33</f>
        <v>290.14999999984866</v>
      </c>
      <c r="AD34" s="85">
        <f t="shared" si="44"/>
        <v>760.71666666632518</v>
      </c>
      <c r="AE34" s="85">
        <f t="shared" si="44"/>
        <v>606.04999999998836</v>
      </c>
      <c r="AF34" s="85">
        <f t="shared" si="44"/>
        <v>470.56666666647652</v>
      </c>
      <c r="AG34" s="85">
        <f t="shared" si="44"/>
        <v>119.14999999967404</v>
      </c>
      <c r="AH34" s="85">
        <f t="shared" si="44"/>
        <v>1084</v>
      </c>
      <c r="AI34" s="85">
        <f t="shared" si="44"/>
        <v>39</v>
      </c>
      <c r="AJ34" s="85">
        <f t="shared" si="44"/>
        <v>99</v>
      </c>
      <c r="AK34" s="85">
        <f t="shared" si="44"/>
        <v>78</v>
      </c>
      <c r="AL34" s="85">
        <f t="shared" si="44"/>
        <v>60</v>
      </c>
      <c r="AM34" s="85">
        <f t="shared" si="44"/>
        <v>16</v>
      </c>
      <c r="AN34" s="85">
        <f t="shared" si="44"/>
        <v>135.5</v>
      </c>
      <c r="AO34" s="85">
        <f t="shared" si="44"/>
        <v>793.85000000015134</v>
      </c>
      <c r="AP34" s="85">
        <f t="shared" si="44"/>
        <v>323.28333333367482</v>
      </c>
      <c r="AQ34" s="85">
        <f t="shared" si="44"/>
        <v>477.95000000001164</v>
      </c>
      <c r="AR34" s="85">
        <f t="shared" si="44"/>
        <v>-470.56666666647652</v>
      </c>
      <c r="AS34" s="85">
        <f t="shared" si="44"/>
        <v>-154.66666666633682</v>
      </c>
      <c r="AT34" s="86">
        <f>AC34/AH34</f>
        <v>0.26766605166037699</v>
      </c>
      <c r="AU34" s="86">
        <f>AD34/AH34</f>
        <v>0.70176814268111176</v>
      </c>
      <c r="AV34" s="86">
        <f>AE34/AH34</f>
        <v>0.55908671586714798</v>
      </c>
      <c r="AW34" s="86">
        <f>AU34-AT34</f>
        <v>0.43410209102073477</v>
      </c>
      <c r="AX34" s="86">
        <f>AU34-AV34</f>
        <v>0.14268142681396379</v>
      </c>
      <c r="AY34" s="85">
        <f t="shared" si="44"/>
        <v>2</v>
      </c>
      <c r="AZ34" s="85">
        <f t="shared" si="44"/>
        <v>12</v>
      </c>
      <c r="BA34" s="85">
        <f t="shared" si="44"/>
        <v>3</v>
      </c>
    </row>
    <row r="39" spans="2:53" x14ac:dyDescent="0.3">
      <c r="X39" s="68">
        <f>X34/AH34</f>
        <v>0.55908671586714798</v>
      </c>
    </row>
  </sheetData>
  <mergeCells count="165">
    <mergeCell ref="AG3:AG7"/>
    <mergeCell ref="AH3:AH7"/>
    <mergeCell ref="AI3:AI7"/>
    <mergeCell ref="AJ3:AJ7"/>
    <mergeCell ref="B3:B34"/>
    <mergeCell ref="C3:C16"/>
    <mergeCell ref="D3:D7"/>
    <mergeCell ref="AB3:AB7"/>
    <mergeCell ref="AC3:AC7"/>
    <mergeCell ref="AD3:AD7"/>
    <mergeCell ref="AW3:AW7"/>
    <mergeCell ref="AX3:AX7"/>
    <mergeCell ref="AY3:AY7"/>
    <mergeCell ref="AZ3:AZ7"/>
    <mergeCell ref="BA3:BA7"/>
    <mergeCell ref="D8:D13"/>
    <mergeCell ref="AB8:AB13"/>
    <mergeCell ref="AC8:AC13"/>
    <mergeCell ref="AD8:AD13"/>
    <mergeCell ref="AE8:AE13"/>
    <mergeCell ref="AQ3:AQ7"/>
    <mergeCell ref="AR3:AR7"/>
    <mergeCell ref="AS3:AS7"/>
    <mergeCell ref="AT3:AT7"/>
    <mergeCell ref="AU3:AU7"/>
    <mergeCell ref="AV3:AV7"/>
    <mergeCell ref="AK3:AK7"/>
    <mergeCell ref="AL3:AL7"/>
    <mergeCell ref="AM3:AM7"/>
    <mergeCell ref="AN3:AN7"/>
    <mergeCell ref="AO3:AO7"/>
    <mergeCell ref="AP3:AP7"/>
    <mergeCell ref="AE3:AE7"/>
    <mergeCell ref="AF3:AF7"/>
    <mergeCell ref="AY8:AY13"/>
    <mergeCell ref="AZ8:AZ13"/>
    <mergeCell ref="BA8:BA13"/>
    <mergeCell ref="D14:D15"/>
    <mergeCell ref="AB14:AB15"/>
    <mergeCell ref="AC14:AC15"/>
    <mergeCell ref="AD14:AD15"/>
    <mergeCell ref="AE14:AE15"/>
    <mergeCell ref="AF14:AF15"/>
    <mergeCell ref="AR8:AR13"/>
    <mergeCell ref="AS8:AS13"/>
    <mergeCell ref="AT8:AT13"/>
    <mergeCell ref="AU8:AU13"/>
    <mergeCell ref="AV8:AV13"/>
    <mergeCell ref="AW8:AW13"/>
    <mergeCell ref="AL8:AL13"/>
    <mergeCell ref="AM8:AM13"/>
    <mergeCell ref="AN8:AN13"/>
    <mergeCell ref="AO8:AO13"/>
    <mergeCell ref="AP8:AP13"/>
    <mergeCell ref="AQ8:AQ13"/>
    <mergeCell ref="AF8:AF13"/>
    <mergeCell ref="AG8:AG13"/>
    <mergeCell ref="AH8:AH13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X8:AX13"/>
    <mergeCell ref="AI8:AI13"/>
    <mergeCell ref="AJ8:AJ13"/>
    <mergeCell ref="AK8:AK13"/>
    <mergeCell ref="AI17:AI22"/>
    <mergeCell ref="AJ17:AJ22"/>
    <mergeCell ref="AK17:AK22"/>
    <mergeCell ref="AL17:AL22"/>
    <mergeCell ref="AY14:AY15"/>
    <mergeCell ref="AZ14:AZ15"/>
    <mergeCell ref="BA14:BA15"/>
    <mergeCell ref="C17:C34"/>
    <mergeCell ref="D17:D22"/>
    <mergeCell ref="AB17:AB22"/>
    <mergeCell ref="AC17:AC22"/>
    <mergeCell ref="AD17:AD22"/>
    <mergeCell ref="AE17:AE22"/>
    <mergeCell ref="AF17:AF22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Y17:AY22"/>
    <mergeCell ref="AZ17:AZ22"/>
    <mergeCell ref="BA17:BA22"/>
    <mergeCell ref="D23:D27"/>
    <mergeCell ref="AB23:AB27"/>
    <mergeCell ref="AC23:AC27"/>
    <mergeCell ref="AD23:AD27"/>
    <mergeCell ref="AE23:AE27"/>
    <mergeCell ref="AF23:AF27"/>
    <mergeCell ref="AG23:AG27"/>
    <mergeCell ref="AS17:AS22"/>
    <mergeCell ref="AT17:AT22"/>
    <mergeCell ref="AU17:AU22"/>
    <mergeCell ref="AV17:AV22"/>
    <mergeCell ref="AW17:AW22"/>
    <mergeCell ref="AX17:AX22"/>
    <mergeCell ref="AM17:AM22"/>
    <mergeCell ref="AN17:AN22"/>
    <mergeCell ref="AO17:AO22"/>
    <mergeCell ref="AP17:AP22"/>
    <mergeCell ref="AQ17:AQ22"/>
    <mergeCell ref="AR17:AR22"/>
    <mergeCell ref="AG17:AG22"/>
    <mergeCell ref="AH17:AH22"/>
    <mergeCell ref="AP23:AP27"/>
    <mergeCell ref="AQ23:AQ27"/>
    <mergeCell ref="AR23:AR27"/>
    <mergeCell ref="AS23:AS27"/>
    <mergeCell ref="AH23:AH27"/>
    <mergeCell ref="AI23:AI27"/>
    <mergeCell ref="AJ23:AJ27"/>
    <mergeCell ref="AK23:AK27"/>
    <mergeCell ref="AL23:AL27"/>
    <mergeCell ref="AM23:AM27"/>
    <mergeCell ref="AI28:AI32"/>
    <mergeCell ref="AJ28:AJ32"/>
    <mergeCell ref="AK28:AK32"/>
    <mergeCell ref="AL28:AL32"/>
    <mergeCell ref="AM28:AM32"/>
    <mergeCell ref="AN28:AN32"/>
    <mergeCell ref="AZ23:AZ27"/>
    <mergeCell ref="BA23:BA27"/>
    <mergeCell ref="D28:D32"/>
    <mergeCell ref="AB28:AB32"/>
    <mergeCell ref="AC28:AC32"/>
    <mergeCell ref="AD28:AD32"/>
    <mergeCell ref="AE28:AE32"/>
    <mergeCell ref="AF28:AF32"/>
    <mergeCell ref="AG28:AG32"/>
    <mergeCell ref="AH28:AH32"/>
    <mergeCell ref="AT23:AT27"/>
    <mergeCell ref="AU23:AU27"/>
    <mergeCell ref="AV23:AV27"/>
    <mergeCell ref="AW23:AW27"/>
    <mergeCell ref="AX23:AX27"/>
    <mergeCell ref="AY23:AY27"/>
    <mergeCell ref="AN23:AN27"/>
    <mergeCell ref="AO23:AO27"/>
    <mergeCell ref="BA28:BA32"/>
    <mergeCell ref="AU28:AU32"/>
    <mergeCell ref="AV28:AV32"/>
    <mergeCell ref="AW28:AW32"/>
    <mergeCell ref="AX28:AX32"/>
    <mergeCell ref="AY28:AY32"/>
    <mergeCell ref="AZ28:AZ32"/>
    <mergeCell ref="AO28:AO32"/>
    <mergeCell ref="AP28:AP32"/>
    <mergeCell ref="AQ28:AQ32"/>
    <mergeCell ref="AR28:AR32"/>
    <mergeCell ref="AS28:AS32"/>
    <mergeCell ref="AT28:AT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v2 final</vt:lpstr>
      <vt:lpstr>Comp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XANAT GARCIA SALGADO</dc:creator>
  <cp:lastModifiedBy>MAYRA XANAT GARCIA SALGADO</cp:lastModifiedBy>
  <dcterms:created xsi:type="dcterms:W3CDTF">2025-11-11T01:33:24Z</dcterms:created>
  <dcterms:modified xsi:type="dcterms:W3CDTF">2026-03-25T15:21:54Z</dcterms:modified>
</cp:coreProperties>
</file>